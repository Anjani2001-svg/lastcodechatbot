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sadee\Downloads\"/>
    </mc:Choice>
  </mc:AlternateContent>
  <xr:revisionPtr revIDLastSave="11" documentId="13_ncr:1_{C92BFF47-8A0B-4635-949E-71BB8D2E39C1}" xr6:coauthVersionLast="47" xr6:coauthVersionMax="47" xr10:uidLastSave="{D672DB68-3ACA-47AF-A845-D889091315A7}"/>
  <bookViews>
    <workbookView xWindow="-90" yWindow="-90" windowWidth="19380" windowHeight="10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3" i="1" l="1"/>
  <c r="F194" i="1"/>
  <c r="S36" i="1"/>
  <c r="S43" i="1"/>
  <c r="S44" i="1"/>
  <c r="S56" i="1"/>
  <c r="S61" i="1"/>
  <c r="S62" i="1"/>
  <c r="S66" i="1"/>
  <c r="S96" i="1"/>
  <c r="S100" i="1"/>
  <c r="S101" i="1"/>
  <c r="S103" i="1"/>
  <c r="S104" i="1"/>
  <c r="S143" i="1"/>
  <c r="S161" i="1"/>
  <c r="S179" i="1"/>
  <c r="S181" i="1"/>
  <c r="S183" i="1"/>
  <c r="S186" i="1"/>
  <c r="S199" i="1"/>
  <c r="S2" i="1"/>
  <c r="P6" i="1"/>
  <c r="P26" i="1"/>
  <c r="P27" i="1"/>
  <c r="P182" i="1"/>
  <c r="P2" i="1"/>
  <c r="N3" i="1"/>
  <c r="O3" i="1" s="1"/>
  <c r="N4" i="1"/>
  <c r="N5" i="1"/>
  <c r="N6" i="1"/>
  <c r="N7" i="1"/>
  <c r="N8" i="1"/>
  <c r="O8" i="1" s="1"/>
  <c r="N9" i="1"/>
  <c r="O9" i="1" s="1"/>
  <c r="N10" i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N19" i="1"/>
  <c r="N20" i="1"/>
  <c r="N21" i="1"/>
  <c r="N22" i="1"/>
  <c r="N23" i="1"/>
  <c r="O23" i="1" s="1"/>
  <c r="N24" i="1"/>
  <c r="N25" i="1"/>
  <c r="N26" i="1"/>
  <c r="N27" i="1"/>
  <c r="N28" i="1"/>
  <c r="O28" i="1" s="1"/>
  <c r="N29" i="1"/>
  <c r="O29" i="1" s="1"/>
  <c r="N30" i="1"/>
  <c r="N31" i="1"/>
  <c r="O31" i="1" s="1"/>
  <c r="N32" i="1"/>
  <c r="O32" i="1" s="1"/>
  <c r="N33" i="1"/>
  <c r="O33" i="1" s="1"/>
  <c r="N34" i="1"/>
  <c r="O34" i="1" s="1"/>
  <c r="N35" i="1"/>
  <c r="N36" i="1"/>
  <c r="N37" i="1"/>
  <c r="O37" i="1" s="1"/>
  <c r="N38" i="1"/>
  <c r="N39" i="1"/>
  <c r="N40" i="1"/>
  <c r="N41" i="1"/>
  <c r="O41" i="1" s="1"/>
  <c r="N42" i="1"/>
  <c r="N43" i="1"/>
  <c r="O43" i="1" s="1"/>
  <c r="N44" i="1"/>
  <c r="O44" i="1" s="1"/>
  <c r="N45" i="1"/>
  <c r="O45" i="1" s="1"/>
  <c r="N46" i="1"/>
  <c r="O46" i="1" s="1"/>
  <c r="N47" i="1"/>
  <c r="N48" i="1"/>
  <c r="N49" i="1"/>
  <c r="O49" i="1" s="1"/>
  <c r="N50" i="1"/>
  <c r="O50" i="1" s="1"/>
  <c r="N51" i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N59" i="1"/>
  <c r="N60" i="1"/>
  <c r="N61" i="1"/>
  <c r="O61" i="1" s="1"/>
  <c r="N62" i="1"/>
  <c r="N63" i="1"/>
  <c r="N64" i="1"/>
  <c r="N65" i="1"/>
  <c r="N66" i="1"/>
  <c r="N67" i="1"/>
  <c r="N68" i="1"/>
  <c r="N69" i="1"/>
  <c r="O69" i="1" s="1"/>
  <c r="N70" i="1"/>
  <c r="O70" i="1" s="1"/>
  <c r="N71" i="1"/>
  <c r="N72" i="1"/>
  <c r="N73" i="1"/>
  <c r="O73" i="1" s="1"/>
  <c r="N74" i="1"/>
  <c r="O74" i="1" s="1"/>
  <c r="N75" i="1"/>
  <c r="O75" i="1" s="1"/>
  <c r="N76" i="1"/>
  <c r="O76" i="1" s="1"/>
  <c r="N77" i="1"/>
  <c r="O77" i="1" s="1"/>
  <c r="N78" i="1"/>
  <c r="N79" i="1"/>
  <c r="N80" i="1"/>
  <c r="N81" i="1"/>
  <c r="N82" i="1"/>
  <c r="N83" i="1"/>
  <c r="O83" i="1" s="1"/>
  <c r="N84" i="1"/>
  <c r="N85" i="1"/>
  <c r="N86" i="1"/>
  <c r="O86" i="1" s="1"/>
  <c r="N87" i="1"/>
  <c r="N88" i="1"/>
  <c r="N89" i="1"/>
  <c r="O89" i="1" s="1"/>
  <c r="N90" i="1"/>
  <c r="N91" i="1"/>
  <c r="O91" i="1" s="1"/>
  <c r="N92" i="1"/>
  <c r="O92" i="1" s="1"/>
  <c r="N93" i="1"/>
  <c r="O93" i="1" s="1"/>
  <c r="N94" i="1"/>
  <c r="O94" i="1" s="1"/>
  <c r="N95" i="1"/>
  <c r="O95" i="1" s="1"/>
  <c r="N96" i="1"/>
  <c r="N97" i="1"/>
  <c r="O97" i="1" s="1"/>
  <c r="N98" i="1"/>
  <c r="N99" i="1"/>
  <c r="N100" i="1"/>
  <c r="N101" i="1"/>
  <c r="O101" i="1" s="1"/>
  <c r="N102" i="1"/>
  <c r="N103" i="1"/>
  <c r="O103" i="1" s="1"/>
  <c r="N104" i="1"/>
  <c r="N105" i="1"/>
  <c r="N106" i="1"/>
  <c r="N107" i="1"/>
  <c r="N108" i="1"/>
  <c r="N109" i="1"/>
  <c r="O109" i="1" s="1"/>
  <c r="N110" i="1"/>
  <c r="N111" i="1"/>
  <c r="N112" i="1"/>
  <c r="N113" i="1"/>
  <c r="N114" i="1"/>
  <c r="N115" i="1"/>
  <c r="O115" i="1" s="1"/>
  <c r="N116" i="1"/>
  <c r="O116" i="1" s="1"/>
  <c r="N117" i="1"/>
  <c r="O117" i="1" s="1"/>
  <c r="N118" i="1"/>
  <c r="N119" i="1"/>
  <c r="N120" i="1"/>
  <c r="N121" i="1"/>
  <c r="N122" i="1"/>
  <c r="N123" i="1"/>
  <c r="O123" i="1" s="1"/>
  <c r="N124" i="1"/>
  <c r="N125" i="1"/>
  <c r="N126" i="1"/>
  <c r="N127" i="1"/>
  <c r="N128" i="1"/>
  <c r="N129" i="1"/>
  <c r="O129" i="1" s="1"/>
  <c r="N130" i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N137" i="1"/>
  <c r="O137" i="1" s="1"/>
  <c r="N138" i="1"/>
  <c r="O138" i="1" s="1"/>
  <c r="N139" i="1"/>
  <c r="N140" i="1"/>
  <c r="O140" i="1" s="1"/>
  <c r="N141" i="1"/>
  <c r="O141" i="1" s="1"/>
  <c r="N142" i="1"/>
  <c r="N143" i="1"/>
  <c r="N144" i="1"/>
  <c r="N145" i="1"/>
  <c r="N146" i="1"/>
  <c r="N147" i="1"/>
  <c r="N148" i="1"/>
  <c r="N149" i="1"/>
  <c r="O149" i="1" s="1"/>
  <c r="N150" i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N159" i="1"/>
  <c r="N160" i="1"/>
  <c r="N161" i="1"/>
  <c r="O161" i="1" s="1"/>
  <c r="N162" i="1"/>
  <c r="N163" i="1"/>
  <c r="O163" i="1" s="1"/>
  <c r="N164" i="1"/>
  <c r="N165" i="1"/>
  <c r="N166" i="1"/>
  <c r="N167" i="1"/>
  <c r="N168" i="1"/>
  <c r="O168" i="1" s="1"/>
  <c r="N169" i="1"/>
  <c r="O169" i="1" s="1"/>
  <c r="N170" i="1"/>
  <c r="N171" i="1"/>
  <c r="N172" i="1"/>
  <c r="N173" i="1"/>
  <c r="N174" i="1"/>
  <c r="O174" i="1" s="1"/>
  <c r="N175" i="1"/>
  <c r="O175" i="1" s="1"/>
  <c r="N176" i="1"/>
  <c r="O176" i="1" s="1"/>
  <c r="N177" i="1"/>
  <c r="O177" i="1" s="1"/>
  <c r="N178" i="1"/>
  <c r="N179" i="1"/>
  <c r="N180" i="1"/>
  <c r="N181" i="1"/>
  <c r="N182" i="1"/>
  <c r="N183" i="1"/>
  <c r="N184" i="1"/>
  <c r="N185" i="1"/>
  <c r="N186" i="1"/>
  <c r="N187" i="1"/>
  <c r="N188" i="1"/>
  <c r="O188" i="1" s="1"/>
  <c r="N189" i="1"/>
  <c r="O189" i="1" s="1"/>
  <c r="N190" i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N199" i="1"/>
  <c r="N200" i="1"/>
  <c r="N2" i="1"/>
  <c r="O2" i="1" s="1"/>
  <c r="O81" i="1"/>
  <c r="O96" i="1"/>
  <c r="O121" i="1"/>
  <c r="O136" i="1"/>
  <c r="O47" i="1"/>
  <c r="O48" i="1"/>
  <c r="O51" i="1"/>
  <c r="O71" i="1"/>
  <c r="O72" i="1"/>
  <c r="O111" i="1"/>
  <c r="O112" i="1"/>
  <c r="O113" i="1"/>
  <c r="O114" i="1"/>
  <c r="O128" i="1"/>
  <c r="O148" i="1"/>
  <c r="O167" i="1"/>
  <c r="O171" i="1"/>
  <c r="O172" i="1"/>
  <c r="O173" i="1"/>
  <c r="K3" i="1"/>
  <c r="M3" i="1" s="1"/>
  <c r="K4" i="1"/>
  <c r="M4" i="1" s="1"/>
  <c r="K5" i="1"/>
  <c r="M5" i="1" s="1"/>
  <c r="K6" i="1"/>
  <c r="M6" i="1" s="1"/>
  <c r="K7" i="1"/>
  <c r="M7" i="1" s="1"/>
  <c r="K8" i="1"/>
  <c r="K9" i="1"/>
  <c r="K10" i="1"/>
  <c r="P10" i="1" s="1"/>
  <c r="K11" i="1"/>
  <c r="M11" i="1" s="1"/>
  <c r="K12" i="1"/>
  <c r="P12" i="1" s="1"/>
  <c r="K13" i="1"/>
  <c r="M13" i="1" s="1"/>
  <c r="K14" i="1"/>
  <c r="M14" i="1" s="1"/>
  <c r="K15" i="1"/>
  <c r="M15" i="1" s="1"/>
  <c r="K16" i="1"/>
  <c r="K17" i="1"/>
  <c r="K18" i="1"/>
  <c r="K19" i="1"/>
  <c r="M19" i="1" s="1"/>
  <c r="K20" i="1"/>
  <c r="S20" i="1" s="1"/>
  <c r="K21" i="1"/>
  <c r="M21" i="1" s="1"/>
  <c r="K22" i="1"/>
  <c r="M22" i="1" s="1"/>
  <c r="K23" i="1"/>
  <c r="P23" i="1" s="1"/>
  <c r="K24" i="1"/>
  <c r="M24" i="1" s="1"/>
  <c r="K25" i="1"/>
  <c r="P25" i="1" s="1"/>
  <c r="K26" i="1"/>
  <c r="M26" i="1" s="1"/>
  <c r="K27" i="1"/>
  <c r="M27" i="1" s="1"/>
  <c r="K28" i="1"/>
  <c r="K29" i="1"/>
  <c r="K30" i="1"/>
  <c r="P30" i="1" s="1"/>
  <c r="K31" i="1"/>
  <c r="M31" i="1" s="1"/>
  <c r="K32" i="1"/>
  <c r="P32" i="1" s="1"/>
  <c r="K33" i="1"/>
  <c r="P33" i="1" s="1"/>
  <c r="K34" i="1"/>
  <c r="M34" i="1" s="1"/>
  <c r="K35" i="1"/>
  <c r="M35" i="1" s="1"/>
  <c r="K36" i="1"/>
  <c r="K37" i="1"/>
  <c r="K38" i="1"/>
  <c r="S38" i="1" s="1"/>
  <c r="K39" i="1"/>
  <c r="M39" i="1" s="1"/>
  <c r="K40" i="1"/>
  <c r="K41" i="1"/>
  <c r="M41" i="1" s="1"/>
  <c r="K42" i="1"/>
  <c r="M42" i="1" s="1"/>
  <c r="K43" i="1"/>
  <c r="P43" i="1" s="1"/>
  <c r="K44" i="1"/>
  <c r="P44" i="1" s="1"/>
  <c r="K45" i="1"/>
  <c r="M45" i="1" s="1"/>
  <c r="K46" i="1"/>
  <c r="M46" i="1" s="1"/>
  <c r="K47" i="1"/>
  <c r="M47" i="1" s="1"/>
  <c r="K48" i="1"/>
  <c r="K49" i="1"/>
  <c r="K50" i="1"/>
  <c r="P50" i="1" s="1"/>
  <c r="K51" i="1"/>
  <c r="M51" i="1" s="1"/>
  <c r="K52" i="1"/>
  <c r="S52" i="1" s="1"/>
  <c r="K53" i="1"/>
  <c r="P53" i="1" s="1"/>
  <c r="K54" i="1"/>
  <c r="M54" i="1" s="1"/>
  <c r="K55" i="1"/>
  <c r="M55" i="1" s="1"/>
  <c r="K56" i="1"/>
  <c r="K57" i="1"/>
  <c r="K58" i="1"/>
  <c r="S58" i="1" s="1"/>
  <c r="K59" i="1"/>
  <c r="M59" i="1" s="1"/>
  <c r="K60" i="1"/>
  <c r="S60" i="1" s="1"/>
  <c r="K61" i="1"/>
  <c r="M61" i="1" s="1"/>
  <c r="K62" i="1"/>
  <c r="M62" i="1" s="1"/>
  <c r="K63" i="1"/>
  <c r="P63" i="1" s="1"/>
  <c r="K64" i="1"/>
  <c r="S64" i="1" s="1"/>
  <c r="K65" i="1"/>
  <c r="M65" i="1" s="1"/>
  <c r="K66" i="1"/>
  <c r="M66" i="1" s="1"/>
  <c r="K67" i="1"/>
  <c r="M67" i="1" s="1"/>
  <c r="K68" i="1"/>
  <c r="K69" i="1"/>
  <c r="K70" i="1"/>
  <c r="P70" i="1" s="1"/>
  <c r="K71" i="1"/>
  <c r="M71" i="1" s="1"/>
  <c r="K72" i="1"/>
  <c r="P72" i="1" s="1"/>
  <c r="K73" i="1"/>
  <c r="P73" i="1" s="1"/>
  <c r="K74" i="1"/>
  <c r="M74" i="1" s="1"/>
  <c r="K75" i="1"/>
  <c r="M75" i="1" s="1"/>
  <c r="K76" i="1"/>
  <c r="S76" i="1" s="1"/>
  <c r="K77" i="1"/>
  <c r="K78" i="1"/>
  <c r="K79" i="1"/>
  <c r="M79" i="1" s="1"/>
  <c r="K80" i="1"/>
  <c r="K81" i="1"/>
  <c r="M81" i="1" s="1"/>
  <c r="K82" i="1"/>
  <c r="M82" i="1" s="1"/>
  <c r="K83" i="1"/>
  <c r="P83" i="1" s="1"/>
  <c r="K84" i="1"/>
  <c r="M84" i="1" s="1"/>
  <c r="K85" i="1"/>
  <c r="M85" i="1" s="1"/>
  <c r="K86" i="1"/>
  <c r="M86" i="1" s="1"/>
  <c r="K87" i="1"/>
  <c r="M87" i="1" s="1"/>
  <c r="K88" i="1"/>
  <c r="K89" i="1"/>
  <c r="K90" i="1"/>
  <c r="P90" i="1" s="1"/>
  <c r="K91" i="1"/>
  <c r="M91" i="1" s="1"/>
  <c r="K92" i="1"/>
  <c r="P92" i="1" s="1"/>
  <c r="K93" i="1"/>
  <c r="P93" i="1" s="1"/>
  <c r="K94" i="1"/>
  <c r="M94" i="1" s="1"/>
  <c r="K95" i="1"/>
  <c r="M95" i="1" s="1"/>
  <c r="K96" i="1"/>
  <c r="K97" i="1"/>
  <c r="K98" i="1"/>
  <c r="S98" i="1" s="1"/>
  <c r="K99" i="1"/>
  <c r="M99" i="1" s="1"/>
  <c r="K100" i="1"/>
  <c r="K101" i="1"/>
  <c r="M101" i="1" s="1"/>
  <c r="K102" i="1"/>
  <c r="M102" i="1" s="1"/>
  <c r="K103" i="1"/>
  <c r="P103" i="1" s="1"/>
  <c r="K104" i="1"/>
  <c r="M104" i="1" s="1"/>
  <c r="K105" i="1"/>
  <c r="M105" i="1" s="1"/>
  <c r="K106" i="1"/>
  <c r="M106" i="1" s="1"/>
  <c r="K107" i="1"/>
  <c r="M107" i="1" s="1"/>
  <c r="K108" i="1"/>
  <c r="K109" i="1"/>
  <c r="K110" i="1"/>
  <c r="P110" i="1" s="1"/>
  <c r="K111" i="1"/>
  <c r="M111" i="1" s="1"/>
  <c r="K112" i="1"/>
  <c r="P112" i="1" s="1"/>
  <c r="K113" i="1"/>
  <c r="K114" i="1"/>
  <c r="M114" i="1" s="1"/>
  <c r="K115" i="1"/>
  <c r="M115" i="1" s="1"/>
  <c r="K116" i="1"/>
  <c r="S116" i="1" s="1"/>
  <c r="K117" i="1"/>
  <c r="K118" i="1"/>
  <c r="K119" i="1"/>
  <c r="M119" i="1" s="1"/>
  <c r="K120" i="1"/>
  <c r="K121" i="1"/>
  <c r="M121" i="1" s="1"/>
  <c r="K122" i="1"/>
  <c r="M122" i="1" s="1"/>
  <c r="K123" i="1"/>
  <c r="P123" i="1" s="1"/>
  <c r="K124" i="1"/>
  <c r="M124" i="1" s="1"/>
  <c r="K125" i="1"/>
  <c r="M125" i="1" s="1"/>
  <c r="K126" i="1"/>
  <c r="M126" i="1" s="1"/>
  <c r="K127" i="1"/>
  <c r="M127" i="1" s="1"/>
  <c r="K128" i="1"/>
  <c r="K129" i="1"/>
  <c r="K130" i="1"/>
  <c r="P130" i="1" s="1"/>
  <c r="K131" i="1"/>
  <c r="M131" i="1" s="1"/>
  <c r="K132" i="1"/>
  <c r="P132" i="1" s="1"/>
  <c r="K133" i="1"/>
  <c r="P133" i="1" s="1"/>
  <c r="K134" i="1"/>
  <c r="M134" i="1" s="1"/>
  <c r="K135" i="1"/>
  <c r="M135" i="1" s="1"/>
  <c r="K136" i="1"/>
  <c r="S136" i="1" s="1"/>
  <c r="K137" i="1"/>
  <c r="K138" i="1"/>
  <c r="S138" i="1" s="1"/>
  <c r="K139" i="1"/>
  <c r="M139" i="1" s="1"/>
  <c r="K140" i="1"/>
  <c r="S140" i="1" s="1"/>
  <c r="K141" i="1"/>
  <c r="M141" i="1" s="1"/>
  <c r="K142" i="1"/>
  <c r="M142" i="1" s="1"/>
  <c r="K143" i="1"/>
  <c r="M143" i="1" s="1"/>
  <c r="K144" i="1"/>
  <c r="P144" i="1" s="1"/>
  <c r="K145" i="1"/>
  <c r="M145" i="1" s="1"/>
  <c r="K146" i="1"/>
  <c r="M146" i="1" s="1"/>
  <c r="K147" i="1"/>
  <c r="M147" i="1" s="1"/>
  <c r="K148" i="1"/>
  <c r="K149" i="1"/>
  <c r="K150" i="1"/>
  <c r="P150" i="1" s="1"/>
  <c r="K151" i="1"/>
  <c r="M151" i="1" s="1"/>
  <c r="K152" i="1"/>
  <c r="P152" i="1" s="1"/>
  <c r="K153" i="1"/>
  <c r="K154" i="1"/>
  <c r="M154" i="1" s="1"/>
  <c r="K155" i="1"/>
  <c r="M155" i="1" s="1"/>
  <c r="K156" i="1"/>
  <c r="K157" i="1"/>
  <c r="K158" i="1"/>
  <c r="K159" i="1"/>
  <c r="M159" i="1" s="1"/>
  <c r="K160" i="1"/>
  <c r="K161" i="1"/>
  <c r="M161" i="1" s="1"/>
  <c r="K162" i="1"/>
  <c r="M162" i="1" s="1"/>
  <c r="K163" i="1"/>
  <c r="P163" i="1" s="1"/>
  <c r="K164" i="1"/>
  <c r="S164" i="1" s="1"/>
  <c r="K165" i="1"/>
  <c r="P165" i="1" s="1"/>
  <c r="K166" i="1"/>
  <c r="M166" i="1" s="1"/>
  <c r="K167" i="1"/>
  <c r="M167" i="1" s="1"/>
  <c r="K168" i="1"/>
  <c r="K169" i="1"/>
  <c r="K170" i="1"/>
  <c r="P170" i="1" s="1"/>
  <c r="K171" i="1"/>
  <c r="M171" i="1" s="1"/>
  <c r="K172" i="1"/>
  <c r="P172" i="1" s="1"/>
  <c r="K173" i="1"/>
  <c r="P173" i="1" s="1"/>
  <c r="K174" i="1"/>
  <c r="M174" i="1" s="1"/>
  <c r="K175" i="1"/>
  <c r="M175" i="1" s="1"/>
  <c r="K176" i="1"/>
  <c r="S176" i="1" s="1"/>
  <c r="K177" i="1"/>
  <c r="K178" i="1"/>
  <c r="S178" i="1" s="1"/>
  <c r="K179" i="1"/>
  <c r="M179" i="1" s="1"/>
  <c r="K180" i="1"/>
  <c r="S180" i="1" s="1"/>
  <c r="K181" i="1"/>
  <c r="M181" i="1" s="1"/>
  <c r="K182" i="1"/>
  <c r="M182" i="1" s="1"/>
  <c r="K183" i="1"/>
  <c r="P183" i="1" s="1"/>
  <c r="K184" i="1"/>
  <c r="M184" i="1" s="1"/>
  <c r="K185" i="1"/>
  <c r="M185" i="1" s="1"/>
  <c r="K186" i="1"/>
  <c r="M186" i="1" s="1"/>
  <c r="K187" i="1"/>
  <c r="S187" i="1" s="1"/>
  <c r="K188" i="1"/>
  <c r="K189" i="1"/>
  <c r="K190" i="1"/>
  <c r="P190" i="1" s="1"/>
  <c r="K191" i="1"/>
  <c r="K192" i="1"/>
  <c r="P192" i="1" s="1"/>
  <c r="K193" i="1"/>
  <c r="K194" i="1"/>
  <c r="M194" i="1" s="1"/>
  <c r="K195" i="1"/>
  <c r="M195" i="1" s="1"/>
  <c r="K196" i="1"/>
  <c r="K197" i="1"/>
  <c r="K198" i="1"/>
  <c r="K199" i="1"/>
  <c r="M199" i="1" s="1"/>
  <c r="K200" i="1"/>
  <c r="S200" i="1" s="1"/>
  <c r="K2" i="1"/>
  <c r="M2" i="1" s="1"/>
  <c r="M23" i="1"/>
  <c r="M43" i="1"/>
  <c r="M44" i="1"/>
  <c r="M63" i="1"/>
  <c r="M64" i="1"/>
  <c r="M83" i="1"/>
  <c r="M103" i="1"/>
  <c r="M123" i="1"/>
  <c r="M163" i="1"/>
  <c r="M164" i="1"/>
  <c r="M1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" i="1"/>
  <c r="G203" i="1"/>
  <c r="G2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4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2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H193" i="1"/>
  <c r="H194" i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2" i="1"/>
  <c r="H2" i="1" s="1"/>
  <c r="P7" i="1" l="1"/>
  <c r="P186" i="1"/>
  <c r="S86" i="1"/>
  <c r="P166" i="1"/>
  <c r="P127" i="1"/>
  <c r="S46" i="1"/>
  <c r="P126" i="1"/>
  <c r="P106" i="1"/>
  <c r="Q106" i="1" s="1"/>
  <c r="R106" i="1" s="1"/>
  <c r="S141" i="1"/>
  <c r="P167" i="1"/>
  <c r="S41" i="1"/>
  <c r="S26" i="1"/>
  <c r="Q26" i="1" s="1"/>
  <c r="S21" i="1"/>
  <c r="P66" i="1"/>
  <c r="Q66" i="1" s="1"/>
  <c r="S19" i="1"/>
  <c r="Q19" i="1" s="1"/>
  <c r="P62" i="1"/>
  <c r="Q62" i="1" s="1"/>
  <c r="S126" i="1"/>
  <c r="S6" i="1"/>
  <c r="Q6" i="1" s="1"/>
  <c r="R6" i="1" s="1"/>
  <c r="S144" i="1"/>
  <c r="Q144" i="1" s="1"/>
  <c r="R144" i="1" s="1"/>
  <c r="P107" i="1"/>
  <c r="P86" i="1"/>
  <c r="Q186" i="1"/>
  <c r="P46" i="1"/>
  <c r="Q46" i="1" s="1"/>
  <c r="R46" i="1" s="1"/>
  <c r="S3" i="1"/>
  <c r="P187" i="1"/>
  <c r="Q187" i="1" s="1"/>
  <c r="P71" i="1"/>
  <c r="S195" i="1"/>
  <c r="P124" i="1"/>
  <c r="P24" i="1"/>
  <c r="S142" i="1"/>
  <c r="S102" i="1"/>
  <c r="Q102" i="1" s="1"/>
  <c r="R102" i="1" s="1"/>
  <c r="S59" i="1"/>
  <c r="M144" i="1"/>
  <c r="P184" i="1"/>
  <c r="Q184" i="1" s="1"/>
  <c r="R184" i="1" s="1"/>
  <c r="P122" i="1"/>
  <c r="P67" i="1"/>
  <c r="P22" i="1"/>
  <c r="Q22" i="1" s="1"/>
  <c r="R22" i="1" s="1"/>
  <c r="S184" i="1"/>
  <c r="S4" i="1"/>
  <c r="P115" i="1"/>
  <c r="P15" i="1"/>
  <c r="P175" i="1"/>
  <c r="P64" i="1"/>
  <c r="P13" i="1"/>
  <c r="S182" i="1"/>
  <c r="Q182" i="1" s="1"/>
  <c r="S139" i="1"/>
  <c r="Q139" i="1" s="1"/>
  <c r="S99" i="1"/>
  <c r="S55" i="1"/>
  <c r="P54" i="1"/>
  <c r="Q54" i="1" s="1"/>
  <c r="S135" i="1"/>
  <c r="M52" i="1"/>
  <c r="P164" i="1"/>
  <c r="Q164" i="1" s="1"/>
  <c r="P104" i="1"/>
  <c r="P51" i="1"/>
  <c r="P4" i="1"/>
  <c r="S134" i="1"/>
  <c r="S84" i="1"/>
  <c r="S42" i="1"/>
  <c r="Q42" i="1" s="1"/>
  <c r="P162" i="1"/>
  <c r="P102" i="1"/>
  <c r="P47" i="1"/>
  <c r="S175" i="1"/>
  <c r="S83" i="1"/>
  <c r="Q83" i="1" s="1"/>
  <c r="P155" i="1"/>
  <c r="Q155" i="1" s="1"/>
  <c r="P95" i="1"/>
  <c r="S174" i="1"/>
  <c r="S124" i="1"/>
  <c r="S82" i="1"/>
  <c r="S39" i="1"/>
  <c r="S95" i="1"/>
  <c r="M25" i="1"/>
  <c r="Q183" i="1"/>
  <c r="Q103" i="1"/>
  <c r="R103" i="1" s="1"/>
  <c r="Q43" i="1"/>
  <c r="S166" i="1"/>
  <c r="Q166" i="1" s="1"/>
  <c r="S123" i="1"/>
  <c r="Q123" i="1" s="1"/>
  <c r="S81" i="1"/>
  <c r="P91" i="1"/>
  <c r="P42" i="1"/>
  <c r="S122" i="1"/>
  <c r="S79" i="1"/>
  <c r="P147" i="1"/>
  <c r="P87" i="1"/>
  <c r="P35" i="1"/>
  <c r="S163" i="1"/>
  <c r="Q163" i="1" s="1"/>
  <c r="S121" i="1"/>
  <c r="S35" i="1"/>
  <c r="P146" i="1"/>
  <c r="P34" i="1"/>
  <c r="S162" i="1"/>
  <c r="S119" i="1"/>
  <c r="S75" i="1"/>
  <c r="S34" i="1"/>
  <c r="P84" i="1"/>
  <c r="S74" i="1"/>
  <c r="P142" i="1"/>
  <c r="Q142" i="1" s="1"/>
  <c r="P82" i="1"/>
  <c r="Q82" i="1" s="1"/>
  <c r="S159" i="1"/>
  <c r="S115" i="1"/>
  <c r="S24" i="1"/>
  <c r="P11" i="1"/>
  <c r="M187" i="1"/>
  <c r="P195" i="1"/>
  <c r="P135" i="1"/>
  <c r="P75" i="1"/>
  <c r="P31" i="1"/>
  <c r="S155" i="1"/>
  <c r="S114" i="1"/>
  <c r="S23" i="1"/>
  <c r="Q23" i="1" s="1"/>
  <c r="Q24" i="1"/>
  <c r="R24" i="1" s="1"/>
  <c r="P55" i="1"/>
  <c r="Q55" i="1" s="1"/>
  <c r="M183" i="1"/>
  <c r="S146" i="1"/>
  <c r="S106" i="1"/>
  <c r="S63" i="1"/>
  <c r="Q63" i="1" s="1"/>
  <c r="S22" i="1"/>
  <c r="Q90" i="1"/>
  <c r="R90" i="1" s="1"/>
  <c r="Q92" i="1"/>
  <c r="M188" i="1"/>
  <c r="S188" i="1"/>
  <c r="M168" i="1"/>
  <c r="S168" i="1"/>
  <c r="M148" i="1"/>
  <c r="S148" i="1"/>
  <c r="M128" i="1"/>
  <c r="S128" i="1"/>
  <c r="M108" i="1"/>
  <c r="S108" i="1"/>
  <c r="M88" i="1"/>
  <c r="S88" i="1"/>
  <c r="M68" i="1"/>
  <c r="S68" i="1"/>
  <c r="M48" i="1"/>
  <c r="S48" i="1"/>
  <c r="M28" i="1"/>
  <c r="S28" i="1"/>
  <c r="M8" i="1"/>
  <c r="S8" i="1"/>
  <c r="O107" i="1"/>
  <c r="O87" i="1"/>
  <c r="O67" i="1"/>
  <c r="O27" i="1"/>
  <c r="O7" i="1"/>
  <c r="P188" i="1"/>
  <c r="P148" i="1"/>
  <c r="P108" i="1"/>
  <c r="O185" i="1"/>
  <c r="O145" i="1"/>
  <c r="O105" i="1"/>
  <c r="O65" i="1"/>
  <c r="O25" i="1"/>
  <c r="P68" i="1"/>
  <c r="M109" i="1"/>
  <c r="S109" i="1"/>
  <c r="P109" i="1"/>
  <c r="O64" i="1"/>
  <c r="M149" i="1"/>
  <c r="S149" i="1"/>
  <c r="P149" i="1"/>
  <c r="Q149" i="1" s="1"/>
  <c r="O146" i="1"/>
  <c r="O66" i="1"/>
  <c r="O165" i="1"/>
  <c r="O26" i="1"/>
  <c r="O182" i="1"/>
  <c r="O162" i="1"/>
  <c r="O142" i="1"/>
  <c r="O122" i="1"/>
  <c r="Q122" i="1"/>
  <c r="R122" i="1"/>
  <c r="O102" i="1"/>
  <c r="O82" i="1"/>
  <c r="O62" i="1"/>
  <c r="O42" i="1"/>
  <c r="O22" i="1"/>
  <c r="P174" i="1"/>
  <c r="P134" i="1"/>
  <c r="P94" i="1"/>
  <c r="O184" i="1"/>
  <c r="O20" i="1"/>
  <c r="Q20" i="1"/>
  <c r="R20" i="1"/>
  <c r="Q133" i="1"/>
  <c r="M189" i="1"/>
  <c r="S189" i="1"/>
  <c r="P189" i="1"/>
  <c r="Q189" i="1" s="1"/>
  <c r="O104" i="1"/>
  <c r="O200" i="1"/>
  <c r="O79" i="1"/>
  <c r="M29" i="1"/>
  <c r="S29" i="1"/>
  <c r="P29" i="1"/>
  <c r="R186" i="1"/>
  <c r="O186" i="1"/>
  <c r="O6" i="1"/>
  <c r="P28" i="1"/>
  <c r="M160" i="1"/>
  <c r="P160" i="1"/>
  <c r="M80" i="1"/>
  <c r="P80" i="1"/>
  <c r="O120" i="1"/>
  <c r="O60" i="1"/>
  <c r="O199" i="1"/>
  <c r="O179" i="1"/>
  <c r="O119" i="1"/>
  <c r="O59" i="1"/>
  <c r="M158" i="1"/>
  <c r="P158" i="1"/>
  <c r="M118" i="1"/>
  <c r="P118" i="1"/>
  <c r="M78" i="1"/>
  <c r="P78" i="1"/>
  <c r="M58" i="1"/>
  <c r="P58" i="1"/>
  <c r="Q58" i="1" s="1"/>
  <c r="M18" i="1"/>
  <c r="P18" i="1"/>
  <c r="O147" i="1"/>
  <c r="O198" i="1"/>
  <c r="O178" i="1"/>
  <c r="O158" i="1"/>
  <c r="O118" i="1"/>
  <c r="O98" i="1"/>
  <c r="Q98" i="1"/>
  <c r="O78" i="1"/>
  <c r="O58" i="1"/>
  <c r="O38" i="1"/>
  <c r="O18" i="1"/>
  <c r="S94" i="1"/>
  <c r="M69" i="1"/>
  <c r="S69" i="1"/>
  <c r="P69" i="1"/>
  <c r="O106" i="1"/>
  <c r="O124" i="1"/>
  <c r="O166" i="1"/>
  <c r="R183" i="1"/>
  <c r="R23" i="1"/>
  <c r="O24" i="1"/>
  <c r="M180" i="1"/>
  <c r="P180" i="1"/>
  <c r="Q180" i="1" s="1"/>
  <c r="M100" i="1"/>
  <c r="P100" i="1"/>
  <c r="M40" i="1"/>
  <c r="P40" i="1"/>
  <c r="O84" i="1"/>
  <c r="O160" i="1"/>
  <c r="O100" i="1"/>
  <c r="Q100" i="1"/>
  <c r="O99" i="1"/>
  <c r="M198" i="1"/>
  <c r="P198" i="1"/>
  <c r="M98" i="1"/>
  <c r="P98" i="1"/>
  <c r="M38" i="1"/>
  <c r="P38" i="1"/>
  <c r="Q38" i="1" s="1"/>
  <c r="M177" i="1"/>
  <c r="S177" i="1"/>
  <c r="P177" i="1"/>
  <c r="Q177" i="1" s="1"/>
  <c r="M157" i="1"/>
  <c r="S157" i="1"/>
  <c r="P157" i="1"/>
  <c r="M117" i="1"/>
  <c r="S117" i="1"/>
  <c r="P117" i="1"/>
  <c r="M77" i="1"/>
  <c r="S77" i="1"/>
  <c r="P77" i="1"/>
  <c r="M57" i="1"/>
  <c r="S57" i="1"/>
  <c r="P57" i="1"/>
  <c r="M37" i="1"/>
  <c r="S37" i="1"/>
  <c r="P37" i="1"/>
  <c r="Q37" i="1" s="1"/>
  <c r="M17" i="1"/>
  <c r="S17" i="1"/>
  <c r="P17" i="1"/>
  <c r="P168" i="1"/>
  <c r="Q168" i="1" s="1"/>
  <c r="P128" i="1"/>
  <c r="P52" i="1"/>
  <c r="P14" i="1"/>
  <c r="S18" i="1"/>
  <c r="M49" i="1"/>
  <c r="S49" i="1"/>
  <c r="P49" i="1"/>
  <c r="Q49" i="1" s="1"/>
  <c r="O144" i="1"/>
  <c r="O85" i="1"/>
  <c r="M200" i="1"/>
  <c r="P200" i="1"/>
  <c r="M120" i="1"/>
  <c r="P120" i="1"/>
  <c r="M60" i="1"/>
  <c r="P60" i="1"/>
  <c r="Q60" i="1" s="1"/>
  <c r="O80" i="1"/>
  <c r="O159" i="1"/>
  <c r="O39" i="1"/>
  <c r="M138" i="1"/>
  <c r="P138" i="1"/>
  <c r="Q138" i="1" s="1"/>
  <c r="M197" i="1"/>
  <c r="S197" i="1"/>
  <c r="P197" i="1"/>
  <c r="M137" i="1"/>
  <c r="S137" i="1"/>
  <c r="P137" i="1"/>
  <c r="Q137" i="1" s="1"/>
  <c r="M196" i="1"/>
  <c r="P196" i="1"/>
  <c r="M156" i="1"/>
  <c r="P156" i="1"/>
  <c r="Q156" i="1" s="1"/>
  <c r="M96" i="1"/>
  <c r="P96" i="1"/>
  <c r="Q96" i="1" s="1"/>
  <c r="M16" i="1"/>
  <c r="P16" i="1"/>
  <c r="Q16" i="1" s="1"/>
  <c r="P88" i="1"/>
  <c r="S198" i="1"/>
  <c r="S160" i="1"/>
  <c r="S54" i="1"/>
  <c r="S16" i="1"/>
  <c r="Q104" i="1"/>
  <c r="M129" i="1"/>
  <c r="S129" i="1"/>
  <c r="P129" i="1"/>
  <c r="Q129" i="1" s="1"/>
  <c r="O164" i="1"/>
  <c r="M140" i="1"/>
  <c r="P140" i="1"/>
  <c r="M20" i="1"/>
  <c r="P20" i="1"/>
  <c r="O180" i="1"/>
  <c r="O40" i="1"/>
  <c r="O139" i="1"/>
  <c r="O19" i="1"/>
  <c r="M178" i="1"/>
  <c r="P178" i="1"/>
  <c r="Q178" i="1" s="1"/>
  <c r="M97" i="1"/>
  <c r="S97" i="1"/>
  <c r="P97" i="1"/>
  <c r="M176" i="1"/>
  <c r="P176" i="1"/>
  <c r="M136" i="1"/>
  <c r="P136" i="1"/>
  <c r="Q136" i="1" s="1"/>
  <c r="M116" i="1"/>
  <c r="P116" i="1"/>
  <c r="Q116" i="1" s="1"/>
  <c r="M76" i="1"/>
  <c r="P76" i="1"/>
  <c r="Q76" i="1" s="1"/>
  <c r="M56" i="1"/>
  <c r="P56" i="1"/>
  <c r="Q56" i="1" s="1"/>
  <c r="M36" i="1"/>
  <c r="P36" i="1"/>
  <c r="Q36" i="1" s="1"/>
  <c r="S196" i="1"/>
  <c r="S15" i="1"/>
  <c r="R44" i="1"/>
  <c r="O5" i="1"/>
  <c r="P48" i="1"/>
  <c r="S158" i="1"/>
  <c r="Q158" i="1" s="1"/>
  <c r="S120" i="1"/>
  <c r="S14" i="1"/>
  <c r="M169" i="1"/>
  <c r="S169" i="1"/>
  <c r="P169" i="1"/>
  <c r="Q169" i="1" s="1"/>
  <c r="M193" i="1"/>
  <c r="S193" i="1"/>
  <c r="M173" i="1"/>
  <c r="S173" i="1"/>
  <c r="Q173" i="1" s="1"/>
  <c r="M153" i="1"/>
  <c r="S153" i="1"/>
  <c r="M133" i="1"/>
  <c r="S133" i="1"/>
  <c r="M113" i="1"/>
  <c r="S113" i="1"/>
  <c r="M93" i="1"/>
  <c r="S93" i="1"/>
  <c r="Q93" i="1" s="1"/>
  <c r="M73" i="1"/>
  <c r="S73" i="1"/>
  <c r="Q73" i="1" s="1"/>
  <c r="M53" i="1"/>
  <c r="S53" i="1"/>
  <c r="Q53" i="1" s="1"/>
  <c r="M33" i="1"/>
  <c r="S33" i="1"/>
  <c r="Q33" i="1" s="1"/>
  <c r="O4" i="1"/>
  <c r="S194" i="1"/>
  <c r="S156" i="1"/>
  <c r="Q44" i="1"/>
  <c r="M89" i="1"/>
  <c r="S89" i="1"/>
  <c r="P89" i="1"/>
  <c r="M192" i="1"/>
  <c r="S192" i="1"/>
  <c r="Q192" i="1" s="1"/>
  <c r="M172" i="1"/>
  <c r="S172" i="1"/>
  <c r="Q172" i="1" s="1"/>
  <c r="M152" i="1"/>
  <c r="S152" i="1"/>
  <c r="Q152" i="1" s="1"/>
  <c r="M132" i="1"/>
  <c r="S132" i="1"/>
  <c r="Q132" i="1" s="1"/>
  <c r="M112" i="1"/>
  <c r="S112" i="1"/>
  <c r="Q112" i="1" s="1"/>
  <c r="M92" i="1"/>
  <c r="S92" i="1"/>
  <c r="M72" i="1"/>
  <c r="S72" i="1"/>
  <c r="Q72" i="1" s="1"/>
  <c r="M32" i="1"/>
  <c r="S32" i="1"/>
  <c r="Q32" i="1" s="1"/>
  <c r="M12" i="1"/>
  <c r="S12" i="1"/>
  <c r="Q12" i="1" s="1"/>
  <c r="R12" i="1" s="1"/>
  <c r="O127" i="1"/>
  <c r="P8" i="1"/>
  <c r="Q8" i="1" s="1"/>
  <c r="S118" i="1"/>
  <c r="Q118" i="1" s="1"/>
  <c r="S80" i="1"/>
  <c r="M191" i="1"/>
  <c r="S191" i="1"/>
  <c r="P191" i="1"/>
  <c r="O126" i="1"/>
  <c r="P194" i="1"/>
  <c r="P154" i="1"/>
  <c r="P114" i="1"/>
  <c r="S154" i="1"/>
  <c r="Q146" i="1"/>
  <c r="M9" i="1"/>
  <c r="S9" i="1"/>
  <c r="P9" i="1"/>
  <c r="M190" i="1"/>
  <c r="S190" i="1"/>
  <c r="Q190" i="1" s="1"/>
  <c r="M170" i="1"/>
  <c r="S170" i="1"/>
  <c r="Q170" i="1" s="1"/>
  <c r="M150" i="1"/>
  <c r="S150" i="1"/>
  <c r="Q150" i="1" s="1"/>
  <c r="M130" i="1"/>
  <c r="S130" i="1"/>
  <c r="Q130" i="1" s="1"/>
  <c r="M110" i="1"/>
  <c r="S110" i="1"/>
  <c r="Q110" i="1" s="1"/>
  <c r="M90" i="1"/>
  <c r="S90" i="1"/>
  <c r="M70" i="1"/>
  <c r="S70" i="1"/>
  <c r="Q70" i="1" s="1"/>
  <c r="S50" i="1"/>
  <c r="Q50" i="1" s="1"/>
  <c r="M50" i="1"/>
  <c r="M30" i="1"/>
  <c r="S30" i="1"/>
  <c r="Q30" i="1" s="1"/>
  <c r="M10" i="1"/>
  <c r="S10" i="1"/>
  <c r="Q10" i="1" s="1"/>
  <c r="O187" i="1"/>
  <c r="O125" i="1"/>
  <c r="O190" i="1"/>
  <c r="O170" i="1"/>
  <c r="O150" i="1"/>
  <c r="O130" i="1"/>
  <c r="O110" i="1"/>
  <c r="O90" i="1"/>
  <c r="O30" i="1"/>
  <c r="O10" i="1"/>
  <c r="P193" i="1"/>
  <c r="P153" i="1"/>
  <c r="P113" i="1"/>
  <c r="P74" i="1"/>
  <c r="S78" i="1"/>
  <c r="S40" i="1"/>
  <c r="Q2" i="1"/>
  <c r="R2" i="1" s="1"/>
  <c r="Q86" i="1"/>
  <c r="R86" i="1" s="1"/>
  <c r="O88" i="1"/>
  <c r="O181" i="1"/>
  <c r="S185" i="1"/>
  <c r="S165" i="1"/>
  <c r="Q165" i="1" s="1"/>
  <c r="S145" i="1"/>
  <c r="S125" i="1"/>
  <c r="S105" i="1"/>
  <c r="S85" i="1"/>
  <c r="S65" i="1"/>
  <c r="S45" i="1"/>
  <c r="S25" i="1"/>
  <c r="Q25" i="1" s="1"/>
  <c r="S5" i="1"/>
  <c r="Q5" i="1" s="1"/>
  <c r="P171" i="1"/>
  <c r="P151" i="1"/>
  <c r="P131" i="1"/>
  <c r="P111" i="1"/>
  <c r="O68" i="1"/>
  <c r="O21" i="1"/>
  <c r="P185" i="1"/>
  <c r="P145" i="1"/>
  <c r="P125" i="1"/>
  <c r="P105" i="1"/>
  <c r="P85" i="1"/>
  <c r="P65" i="1"/>
  <c r="P45" i="1"/>
  <c r="P5" i="1"/>
  <c r="S13" i="1"/>
  <c r="O108" i="1"/>
  <c r="P143" i="1"/>
  <c r="Q143" i="1" s="1"/>
  <c r="P3" i="1"/>
  <c r="Q3" i="1" s="1"/>
  <c r="S171" i="1"/>
  <c r="S151" i="1"/>
  <c r="S131" i="1"/>
  <c r="S111" i="1"/>
  <c r="S91" i="1"/>
  <c r="S71" i="1"/>
  <c r="Q71" i="1" s="1"/>
  <c r="S51" i="1"/>
  <c r="S31" i="1"/>
  <c r="S11" i="1"/>
  <c r="Q11" i="1" s="1"/>
  <c r="O183" i="1"/>
  <c r="O143" i="1"/>
  <c r="O36" i="1"/>
  <c r="P181" i="1"/>
  <c r="P161" i="1"/>
  <c r="P141" i="1"/>
  <c r="P121" i="1"/>
  <c r="P101" i="1"/>
  <c r="P81" i="1"/>
  <c r="P61" i="1"/>
  <c r="Q61" i="1" s="1"/>
  <c r="P41" i="1"/>
  <c r="P21" i="1"/>
  <c r="Q21" i="1" s="1"/>
  <c r="Q17" i="1"/>
  <c r="O63" i="1"/>
  <c r="O35" i="1"/>
  <c r="Q176" i="1"/>
  <c r="P199" i="1"/>
  <c r="Q199" i="1" s="1"/>
  <c r="P179" i="1"/>
  <c r="Q179" i="1" s="1"/>
  <c r="P159" i="1"/>
  <c r="P139" i="1"/>
  <c r="P119" i="1"/>
  <c r="P99" i="1"/>
  <c r="P79" i="1"/>
  <c r="Q79" i="1" s="1"/>
  <c r="P59" i="1"/>
  <c r="Q59" i="1" s="1"/>
  <c r="P39" i="1"/>
  <c r="P19" i="1"/>
  <c r="S167" i="1"/>
  <c r="Q167" i="1" s="1"/>
  <c r="S147" i="1"/>
  <c r="Q147" i="1" s="1"/>
  <c r="S127" i="1"/>
  <c r="Q127" i="1" s="1"/>
  <c r="S107" i="1"/>
  <c r="S87" i="1"/>
  <c r="Q87" i="1" s="1"/>
  <c r="S67" i="1"/>
  <c r="Q67" i="1" s="1"/>
  <c r="S47" i="1"/>
  <c r="Q47" i="1" s="1"/>
  <c r="S27" i="1"/>
  <c r="Q27" i="1" s="1"/>
  <c r="S7" i="1"/>
  <c r="Q7" i="1" s="1"/>
  <c r="Q107" i="1" l="1"/>
  <c r="Q81" i="1"/>
  <c r="Q162" i="1"/>
  <c r="R162" i="1" s="1"/>
  <c r="Q198" i="1"/>
  <c r="Q39" i="1"/>
  <c r="Q89" i="1"/>
  <c r="Q69" i="1"/>
  <c r="R69" i="1" s="1"/>
  <c r="Q35" i="1"/>
  <c r="Q4" i="1"/>
  <c r="Q80" i="1"/>
  <c r="R80" i="1" s="1"/>
  <c r="Q99" i="1"/>
  <c r="Q126" i="1"/>
  <c r="R126" i="1" s="1"/>
  <c r="Q84" i="1"/>
  <c r="Q88" i="1"/>
  <c r="Q135" i="1"/>
  <c r="R135" i="1" s="1"/>
  <c r="Q195" i="1"/>
  <c r="R195" i="1" s="1"/>
  <c r="Q185" i="1"/>
  <c r="R185" i="1" s="1"/>
  <c r="Q15" i="1"/>
  <c r="R15" i="1" s="1"/>
  <c r="Q196" i="1"/>
  <c r="R196" i="1" s="1"/>
  <c r="Q119" i="1"/>
  <c r="Q75" i="1"/>
  <c r="Q105" i="1"/>
  <c r="Q159" i="1"/>
  <c r="Q40" i="1"/>
  <c r="Q157" i="1"/>
  <c r="Q109" i="1"/>
  <c r="R109" i="1" s="1"/>
  <c r="Q115" i="1"/>
  <c r="R115" i="1" s="1"/>
  <c r="R172" i="1"/>
  <c r="R10" i="1"/>
  <c r="R35" i="1"/>
  <c r="R182" i="1"/>
  <c r="R124" i="1"/>
  <c r="R70" i="1"/>
  <c r="R42" i="1"/>
  <c r="R55" i="1"/>
  <c r="R4" i="1"/>
  <c r="R132" i="1"/>
  <c r="R83" i="1"/>
  <c r="R180" i="1"/>
  <c r="R73" i="1"/>
  <c r="R123" i="1"/>
  <c r="R63" i="1"/>
  <c r="R163" i="1"/>
  <c r="R127" i="1"/>
  <c r="R82" i="1"/>
  <c r="R79" i="1"/>
  <c r="R165" i="1"/>
  <c r="R118" i="1"/>
  <c r="R198" i="1"/>
  <c r="R112" i="1"/>
  <c r="R164" i="1"/>
  <c r="R53" i="1"/>
  <c r="R152" i="1"/>
  <c r="R75" i="1"/>
  <c r="R166" i="1"/>
  <c r="R147" i="1"/>
  <c r="R199" i="1"/>
  <c r="R71" i="1"/>
  <c r="Q28" i="1"/>
  <c r="R139" i="1"/>
  <c r="Q13" i="1"/>
  <c r="R190" i="1"/>
  <c r="R143" i="1"/>
  <c r="Q175" i="1"/>
  <c r="R175" i="1" s="1"/>
  <c r="Q91" i="1"/>
  <c r="R25" i="1"/>
  <c r="R179" i="1"/>
  <c r="R27" i="1"/>
  <c r="R5" i="1"/>
  <c r="R21" i="1"/>
  <c r="R33" i="1"/>
  <c r="R30" i="1"/>
  <c r="R50" i="1"/>
  <c r="R7" i="1"/>
  <c r="R133" i="1"/>
  <c r="Q125" i="1"/>
  <c r="R92" i="1"/>
  <c r="R155" i="1"/>
  <c r="R107" i="1"/>
  <c r="R146" i="1"/>
  <c r="R100" i="1"/>
  <c r="Q34" i="1"/>
  <c r="Q145" i="1"/>
  <c r="Q48" i="1"/>
  <c r="R48" i="1" s="1"/>
  <c r="R84" i="1"/>
  <c r="R87" i="1"/>
  <c r="R192" i="1"/>
  <c r="Q29" i="1"/>
  <c r="R29" i="1" s="1"/>
  <c r="R142" i="1"/>
  <c r="Q124" i="1"/>
  <c r="R67" i="1"/>
  <c r="R104" i="1"/>
  <c r="R59" i="1"/>
  <c r="R150" i="1"/>
  <c r="R173" i="1"/>
  <c r="Q41" i="1"/>
  <c r="R41" i="1" s="1"/>
  <c r="R8" i="1"/>
  <c r="R105" i="1"/>
  <c r="R93" i="1"/>
  <c r="Q18" i="1"/>
  <c r="Q64" i="1"/>
  <c r="R64" i="1" s="1"/>
  <c r="R167" i="1"/>
  <c r="R130" i="1"/>
  <c r="R26" i="1"/>
  <c r="Q128" i="1"/>
  <c r="R11" i="1"/>
  <c r="R72" i="1"/>
  <c r="Q95" i="1"/>
  <c r="Q121" i="1"/>
  <c r="R121" i="1" s="1"/>
  <c r="Q200" i="1"/>
  <c r="R200" i="1" s="1"/>
  <c r="R168" i="1"/>
  <c r="R187" i="1"/>
  <c r="R54" i="1"/>
  <c r="R110" i="1"/>
  <c r="Q101" i="1"/>
  <c r="Q120" i="1"/>
  <c r="R120" i="1" s="1"/>
  <c r="R32" i="1"/>
  <c r="Q97" i="1"/>
  <c r="Q31" i="1"/>
  <c r="R40" i="1"/>
  <c r="R170" i="1"/>
  <c r="R66" i="1"/>
  <c r="R61" i="1"/>
  <c r="Q57" i="1"/>
  <c r="R57" i="1" s="1"/>
  <c r="R47" i="1"/>
  <c r="Q197" i="1"/>
  <c r="R197" i="1" s="1"/>
  <c r="R62" i="1"/>
  <c r="R19" i="1"/>
  <c r="Q161" i="1"/>
  <c r="Q160" i="1"/>
  <c r="R119" i="1"/>
  <c r="Q51" i="1"/>
  <c r="Q78" i="1"/>
  <c r="R43" i="1"/>
  <c r="Q131" i="1"/>
  <c r="Q113" i="1"/>
  <c r="Q151" i="1"/>
  <c r="R151" i="1" s="1"/>
  <c r="Q153" i="1"/>
  <c r="Q114" i="1"/>
  <c r="R114" i="1"/>
  <c r="R116" i="1"/>
  <c r="R138" i="1"/>
  <c r="Q171" i="1"/>
  <c r="Q193" i="1"/>
  <c r="R193" i="1" s="1"/>
  <c r="Q154" i="1"/>
  <c r="R154" i="1" s="1"/>
  <c r="R129" i="1"/>
  <c r="Q111" i="1"/>
  <c r="R111" i="1" s="1"/>
  <c r="R76" i="1"/>
  <c r="R96" i="1"/>
  <c r="Q141" i="1"/>
  <c r="R156" i="1"/>
  <c r="Q45" i="1"/>
  <c r="R17" i="1"/>
  <c r="R60" i="1"/>
  <c r="Q181" i="1"/>
  <c r="R16" i="1"/>
  <c r="Q9" i="1"/>
  <c r="R38" i="1"/>
  <c r="Q65" i="1"/>
  <c r="R56" i="1"/>
  <c r="R81" i="1"/>
  <c r="R58" i="1"/>
  <c r="Q108" i="1"/>
  <c r="R157" i="1"/>
  <c r="R88" i="1"/>
  <c r="Q191" i="1"/>
  <c r="R191" i="1"/>
  <c r="Q134" i="1"/>
  <c r="R134" i="1"/>
  <c r="Q85" i="1"/>
  <c r="Q188" i="1"/>
  <c r="Q194" i="1"/>
  <c r="R160" i="1"/>
  <c r="R177" i="1"/>
  <c r="R149" i="1"/>
  <c r="R99" i="1"/>
  <c r="R137" i="1"/>
  <c r="R98" i="1"/>
  <c r="Q94" i="1"/>
  <c r="R94" i="1"/>
  <c r="R159" i="1"/>
  <c r="R89" i="1"/>
  <c r="Q140" i="1"/>
  <c r="Q77" i="1"/>
  <c r="R189" i="1"/>
  <c r="R178" i="1"/>
  <c r="R36" i="1"/>
  <c r="R158" i="1"/>
  <c r="Q174" i="1"/>
  <c r="R174" i="1"/>
  <c r="R169" i="1"/>
  <c r="Q74" i="1"/>
  <c r="R74" i="1" s="1"/>
  <c r="R136" i="1"/>
  <c r="Q14" i="1"/>
  <c r="R14" i="1"/>
  <c r="R176" i="1"/>
  <c r="Q52" i="1"/>
  <c r="R52" i="1"/>
  <c r="R39" i="1"/>
  <c r="R37" i="1"/>
  <c r="Q68" i="1"/>
  <c r="Q148" i="1"/>
  <c r="Q117" i="1"/>
  <c r="R3" i="1"/>
  <c r="R49" i="1"/>
  <c r="R78" i="1" l="1"/>
  <c r="R34" i="1"/>
  <c r="R65" i="1"/>
  <c r="R51" i="1"/>
  <c r="R153" i="1"/>
  <c r="R85" i="1"/>
  <c r="R9" i="1"/>
  <c r="R91" i="1"/>
  <c r="R31" i="1"/>
  <c r="R131" i="1"/>
  <c r="R101" i="1"/>
  <c r="R45" i="1"/>
  <c r="R161" i="1"/>
  <c r="R141" i="1"/>
  <c r="R145" i="1"/>
  <c r="R95" i="1"/>
  <c r="R181" i="1"/>
  <c r="R188" i="1"/>
  <c r="R113" i="1"/>
  <c r="R117" i="1"/>
  <c r="R97" i="1"/>
  <c r="R108" i="1"/>
  <c r="R128" i="1"/>
  <c r="R28" i="1"/>
  <c r="R77" i="1"/>
  <c r="R140" i="1"/>
  <c r="R171" i="1"/>
  <c r="R194" i="1"/>
  <c r="R13" i="1"/>
  <c r="R148" i="1"/>
  <c r="R125" i="1"/>
  <c r="R68" i="1"/>
  <c r="R18" i="1"/>
</calcChain>
</file>

<file path=xl/sharedStrings.xml><?xml version="1.0" encoding="utf-8"?>
<sst xmlns="http://schemas.openxmlformats.org/spreadsheetml/2006/main" count="3133" uniqueCount="823">
  <si>
    <t>No</t>
  </si>
  <si>
    <t>Course Name</t>
  </si>
  <si>
    <t>Course URL</t>
  </si>
  <si>
    <t>Standard Display Price</t>
  </si>
  <si>
    <t>Old Sale Price</t>
  </si>
  <si>
    <t>New Sale Price</t>
  </si>
  <si>
    <t>Old Discount Percentage</t>
  </si>
  <si>
    <t>New Discount Percentage</t>
  </si>
  <si>
    <t>Fast Track Cut Price</t>
  </si>
  <si>
    <t>Fast Track Sale Price</t>
  </si>
  <si>
    <t>New Fast Track Price</t>
  </si>
  <si>
    <t>Old Fast Track Discount Percentage</t>
  </si>
  <si>
    <t>New Fast Track Discount Percentage</t>
  </si>
  <si>
    <t>New Instalment Price</t>
  </si>
  <si>
    <t>Installment Percentage</t>
  </si>
  <si>
    <t>Down Payment Amount</t>
  </si>
  <si>
    <t>Monthly</t>
  </si>
  <si>
    <t>Last Month</t>
  </si>
  <si>
    <t>Number of Months</t>
  </si>
  <si>
    <t>Awarding Body</t>
  </si>
  <si>
    <t>Level 3 Award in Introduction to Computer Programming (RQF)</t>
  </si>
  <si>
    <t>https://southlondoncollege.org/course/level-3-award-introduction-computer-programming/</t>
  </si>
  <si>
    <t>£649.00</t>
  </si>
  <si>
    <t>£389.00</t>
  </si>
  <si>
    <t>£779.00</t>
  </si>
  <si>
    <t>£469.00</t>
  </si>
  <si>
    <t>ATHE</t>
  </si>
  <si>
    <t>Level 3 Award in Introduction to Computing Mathematics (RQF)</t>
  </si>
  <si>
    <t>https://southlondoncollege.org/course/level-3-award-introduction-computing-mathematics/</t>
  </si>
  <si>
    <t>Level 3 Award in Introduction to Cyber Security (RQF)</t>
  </si>
  <si>
    <t>https://southlondoncollege.org/course/level-3-award-introduction-cyber-security/</t>
  </si>
  <si>
    <t>Level 3 Award in Introduction to Digital Technologies (RQF)</t>
  </si>
  <si>
    <t>https://southlondoncollege.org/course/level-3-award-introduction-digital-technologies/</t>
  </si>
  <si>
    <t>Level 3 Award in Introduction to Emerging Technologies (RQF)</t>
  </si>
  <si>
    <t>https://southlondoncollege.org/course/level-3-award-introduction-emerging-technologies/</t>
  </si>
  <si>
    <t>Level 3 Award in Introduction to Mobile Application Development (RQF)</t>
  </si>
  <si>
    <t>https://southlondoncollege.org/course/level-3-award-introduction-mobile-application-development/</t>
  </si>
  <si>
    <t xml:space="preserve">
Level 3 Award in Introduction to Web Development (RQF)</t>
  </si>
  <si>
    <t>https://southlondoncollege.org/course/level-3-award-introduction-web-development/</t>
  </si>
  <si>
    <t>Level 3 Award in Teaching Roles and Responsibilities (RQF)</t>
  </si>
  <si>
    <t>https://southlondoncollege.org/course/level-3-award-teaching-roles-responsibilities/</t>
  </si>
  <si>
    <t>£449.00</t>
  </si>
  <si>
    <t>£299.00</t>
  </si>
  <si>
    <t>£539.00</t>
  </si>
  <si>
    <t>£359.00</t>
  </si>
  <si>
    <t>Level 3 Certificate in Information and Digital Technologies (RQF)</t>
  </si>
  <si>
    <t>https://southlondoncollege.org/course/level-3-certificate-information-digital-technologies/</t>
  </si>
  <si>
    <t>£749.00</t>
  </si>
  <si>
    <t>£499.00</t>
  </si>
  <si>
    <t>£899.00</t>
  </si>
  <si>
    <t>£599.00</t>
  </si>
  <si>
    <t>Level 3 Certificate in the Foundations of Teaching (RQF)</t>
  </si>
  <si>
    <t>https://southlondoncollege.org/course/level-3-certificate-foundations-teaching/</t>
  </si>
  <si>
    <t xml:space="preserve">
Level 3 Diploma in Accounting (RQF)</t>
  </si>
  <si>
    <t>https://southlondoncollege.org/course/athe-level-3-diploma-accounting/</t>
  </si>
  <si>
    <t>£1,449.00</t>
  </si>
  <si>
    <t>£869.00</t>
  </si>
  <si>
    <t>£1739.00</t>
  </si>
  <si>
    <t>£1039.00</t>
  </si>
  <si>
    <t>Level 3 Diploma in Applied Statistics (RQF)</t>
  </si>
  <si>
    <t>https://southlondoncollege.org/course/level-3-diploma-applied-statistics/</t>
  </si>
  <si>
    <t>£1,579.00</t>
  </si>
  <si>
    <t>£949.00</t>
  </si>
  <si>
    <t>£1899.00</t>
  </si>
  <si>
    <t>£1139.00</t>
  </si>
  <si>
    <t>Level 3 Diploma in Business (60 Credits) – RQF</t>
  </si>
  <si>
    <t>https://southlondoncollege.org/course/athe-level-3-diploma-business-60/</t>
  </si>
  <si>
    <t>£1,249.00</t>
  </si>
  <si>
    <t>£1499.00</t>
  </si>
  <si>
    <t>Level 3 Diploma in Business (90 Credits) – RQF</t>
  </si>
  <si>
    <t>https://southlondoncollege.org/course/athe-level-3-diploma-business-90/</t>
  </si>
  <si>
    <t>Level 3 Diploma in Health and Social Care (RQF)</t>
  </si>
  <si>
    <t>https://southlondoncollege.org/course/athe-level-3-diploma-health-social-care/</t>
  </si>
  <si>
    <t>£1,149.00</t>
  </si>
  <si>
    <t>£689.00</t>
  </si>
  <si>
    <t>£1379.00</t>
  </si>
  <si>
    <t>£829.00</t>
  </si>
  <si>
    <t>Level 3 Diploma in Information and Digital Technologies (RQF)</t>
  </si>
  <si>
    <t>https://southlondoncollege.org/course/athe-level-3-diploma-information-digital-technologies/</t>
  </si>
  <si>
    <t>£1,549.00</t>
  </si>
  <si>
    <t>£929.00</t>
  </si>
  <si>
    <t>£1859.00</t>
  </si>
  <si>
    <t>£1119.00</t>
  </si>
  <si>
    <t>Level 3 Diploma in Law (RQF)</t>
  </si>
  <si>
    <t>https://southlondoncollege.org/course/athe-level-3-diploma-law/</t>
  </si>
  <si>
    <t>Level 3 Diploma in Small Business and Social Enterprise Start-up (RQF)</t>
  </si>
  <si>
    <t>https://southlondoncollege.org/course/athe-level-3-diploma-small-business-social-enterprise-start-up/</t>
  </si>
  <si>
    <t>Level 3 Extended Diploma in Business and Management (RQF)</t>
  </si>
  <si>
    <t>https://southlondoncollege.org/course/athe-level-3-extended-diploma-business-management/</t>
  </si>
  <si>
    <t>£1,649.00</t>
  </si>
  <si>
    <t>£989.00</t>
  </si>
  <si>
    <t>£1979.00</t>
  </si>
  <si>
    <t>£1189.00</t>
  </si>
  <si>
    <t xml:space="preserve">
Level 4 Diploma in Accounting (RQF)</t>
  </si>
  <si>
    <t>https://southlondoncollege.org/course/athe-level-4-diploma-accounting/</t>
  </si>
  <si>
    <t>Level 4 Diploma in Business and Management (RQF)</t>
  </si>
  <si>
    <t>https://southlondoncollege.org/course/athe-level-4-diploma-business-management/</t>
  </si>
  <si>
    <t>Level 4 Diploma in Computing (RQF)</t>
  </si>
  <si>
    <t>https://southlondoncollege.org/course/athe-level-4-diploma-computing/</t>
  </si>
  <si>
    <t>£1,599.00</t>
  </si>
  <si>
    <t>£959.00</t>
  </si>
  <si>
    <t>£1919.00</t>
  </si>
  <si>
    <t>£1149.00</t>
  </si>
  <si>
    <t>Level 4 Diploma in Health and Social Care (RQF)</t>
  </si>
  <si>
    <t>https://southlondoncollege.org/course/level-4-diploma-health-social-care/</t>
  </si>
  <si>
    <t xml:space="preserve">
Level 4 Extended Diploma in Accounting (RQF)</t>
  </si>
  <si>
    <t>https://southlondoncollege.org/course/athe-level-4-extended-diploma-accounting/</t>
  </si>
  <si>
    <t>Level 4 Extended Diploma in Business and Management (Gen Ed) – RQF</t>
  </si>
  <si>
    <t>https://southlondoncollege.org/course/level-4-extended-diploma-business-management/</t>
  </si>
  <si>
    <t xml:space="preserve">£1,829.00 </t>
  </si>
  <si>
    <t>£1,099.00</t>
  </si>
  <si>
    <t>£2199.00</t>
  </si>
  <si>
    <t>£1319.00</t>
  </si>
  <si>
    <t>Level 4 Extended Diploma in Business and Management (RQF)</t>
  </si>
  <si>
    <t>https://southlondoncollege.org/course/athe-level-4-extended-diploma-business-management/</t>
  </si>
  <si>
    <t>£1,799.00</t>
  </si>
  <si>
    <t>£1,079.00</t>
  </si>
  <si>
    <t>£2159.00</t>
  </si>
  <si>
    <t>£1299.00</t>
  </si>
  <si>
    <t>Level 4 Extended Diploma in Computing (Cyber Security Technologist) – RQF</t>
  </si>
  <si>
    <t>https://southlondoncollege.org/course/athe-level-4-extended-diploma-computing-cyber-security-technologist/</t>
  </si>
  <si>
    <t>£1,999.00</t>
  </si>
  <si>
    <t>£1,199.00</t>
  </si>
  <si>
    <t>£2399.00</t>
  </si>
  <si>
    <t>£1439.00</t>
  </si>
  <si>
    <t>Level 4 Extended Diploma in Computing (Data Analyst) – RQF</t>
  </si>
  <si>
    <t>https://southlondoncollege.org/course/athe-level-4-extended-diploma-computing-data-analyst/</t>
  </si>
  <si>
    <t>£2,099.00</t>
  </si>
  <si>
    <t>£1,259.00</t>
  </si>
  <si>
    <t>£2519.00</t>
  </si>
  <si>
    <t>£1509.00</t>
  </si>
  <si>
    <t>Level 4 Extended Diploma in Computing (RQF)</t>
  </si>
  <si>
    <t>https://southlondoncollege.org/course/athe-level-4-extended-diploma-computing/</t>
  </si>
  <si>
    <t>£1,699.00</t>
  </si>
  <si>
    <t>£1,019.00</t>
  </si>
  <si>
    <t>£2039.00</t>
  </si>
  <si>
    <t>£1219.00</t>
  </si>
  <si>
    <t>Level 4 Extended Diploma in Computing (Software Developer) – RQF</t>
  </si>
  <si>
    <t>https://southlondoncollege.org/course/athe-level-4-extended-diploma-computing-software-developer/</t>
  </si>
  <si>
    <t>Level 4 Extended Diploma in Health and Social Care (Adult Care) – RQF</t>
  </si>
  <si>
    <t>https://southlondoncollege.org/course/level-4-extended-diploma-health-social-care-adult-care/</t>
  </si>
  <si>
    <t>£1,829.00</t>
  </si>
  <si>
    <t xml:space="preserve">
Level 4 Extended Diploma in Health and Social Care (RQF)</t>
  </si>
  <si>
    <t>https://southlondoncollege.org/course/athe-level-4-extended-diploma-health-social-care/</t>
  </si>
  <si>
    <t>£1,499.00</t>
  </si>
  <si>
    <t>£1799.00</t>
  </si>
  <si>
    <t>£1079.00</t>
  </si>
  <si>
    <t>Level 4 Extended Diploma in Law (RQF)</t>
  </si>
  <si>
    <t>https://southlondoncollege.org/course/athe-level-4-extended-diploma-law/</t>
  </si>
  <si>
    <t xml:space="preserve">
Level 5 Combined Extended Diploma in Business and Management (RQF)</t>
  </si>
  <si>
    <t>https://southlondoncollege.org/course/level-5-combined-extended-diploma-business-management/</t>
  </si>
  <si>
    <t>£2,079.00</t>
  </si>
  <si>
    <t>£2499.00</t>
  </si>
  <si>
    <t>Level 5 Diploma in Accounting (RQF)</t>
  </si>
  <si>
    <t>https://southlondoncollege.org/course/level-5-diploma-accounting/</t>
  </si>
  <si>
    <t>Level 5 Diploma in Business and Management (RQF)</t>
  </si>
  <si>
    <t>https://southlondoncollege.org/course/athe-level-5-diploma-business-management/</t>
  </si>
  <si>
    <t>£1,749.00</t>
  </si>
  <si>
    <t>£1,049.00</t>
  </si>
  <si>
    <t>£2099.00</t>
  </si>
  <si>
    <t>£1259.00</t>
  </si>
  <si>
    <t xml:space="preserve">
Level 5 Diploma in Computing (RQF)</t>
  </si>
  <si>
    <t>https://southlondoncollege.org/course/athe-level-5-diploma-computing/</t>
  </si>
  <si>
    <t>£2,199.00</t>
  </si>
  <si>
    <t>£1,319.00</t>
  </si>
  <si>
    <t>£2639.00</t>
  </si>
  <si>
    <t>£1579.00</t>
  </si>
  <si>
    <t>Level 5 Diploma in Health and Social Care (RQF)</t>
  </si>
  <si>
    <t>https://southlondoncollege.org/course/athe-level-5-diploma-health-social-care/</t>
  </si>
  <si>
    <t>Level 5 Diploma in Supporting Teaching and Learning (RQF)</t>
  </si>
  <si>
    <t>https://southlondoncollege.org/course/athe-level-5-diploma-supporting-teaching-learning/</t>
  </si>
  <si>
    <t>£1,659.00</t>
  </si>
  <si>
    <t>£999.00</t>
  </si>
  <si>
    <t>£1989.00</t>
  </si>
  <si>
    <t>Level 5 Extended Diploma in Accounting (RQF)</t>
  </si>
  <si>
    <t>https://southlondoncollege.org/course/athe-level-5-extended-diploma-accounting/</t>
  </si>
  <si>
    <t>Level 5 Extended Diploma in Business and Management (Gen Ed) – RQF</t>
  </si>
  <si>
    <t>https://southlondoncollege.org/course/level-5-extended-diploma-business-management/</t>
  </si>
  <si>
    <t xml:space="preserve">
Level 5 Extended Diploma in Business and Management (RQF)</t>
  </si>
  <si>
    <t>https://southlondoncollege.org/course/athe-level-5-extended-diploma-business-management/</t>
  </si>
  <si>
    <t>£1,899.00</t>
  </si>
  <si>
    <t>£1,139.00</t>
  </si>
  <si>
    <t>£2279.00</t>
  </si>
  <si>
    <t>£1369.00</t>
  </si>
  <si>
    <t>Level 5 Extended Diploma in Computing (Data Technologist) – RQF</t>
  </si>
  <si>
    <t>https://southlondoncollege.org/course/athe-level-5-extended-diploma-computing-data-technologist/</t>
  </si>
  <si>
    <t xml:space="preserve">
Level 5 Extended Diploma in Computing (NetDevOps Engineer) – RQF</t>
  </si>
  <si>
    <t>https://southlondoncollege.org/course/athe-level-5-extended-diploma-computing-netdevops-engineer/</t>
  </si>
  <si>
    <t>Level 5 Extended Diploma in Computing (RQF)</t>
  </si>
  <si>
    <t>https://southlondoncollege.org/course/athe-level-5-extended-diploma-computing/</t>
  </si>
  <si>
    <t>£2,299.00</t>
  </si>
  <si>
    <t>£1,379.00</t>
  </si>
  <si>
    <t>£2759.00</t>
  </si>
  <si>
    <t>£1659.00</t>
  </si>
  <si>
    <t>Level 5 Extended Diploma in Computing (Software Engineer) – RQF</t>
  </si>
  <si>
    <t>https://southlondoncollege.org/course/athe-level-5-extended-diploma-computing-software-engineer/</t>
  </si>
  <si>
    <t>£2,399.00</t>
  </si>
  <si>
    <t>£1,439.00</t>
  </si>
  <si>
    <t>£2879.00</t>
  </si>
  <si>
    <t>£1729.00</t>
  </si>
  <si>
    <t>Level 5 Extended Diploma in Health and Social Care (Adult Care Leadership) – RQF</t>
  </si>
  <si>
    <t>https://southlondoncollege.org/course/level-5-extended-diploma-health-social-care-adult-care-leadership/</t>
  </si>
  <si>
    <t>£1,929.00</t>
  </si>
  <si>
    <t>£1,159.00</t>
  </si>
  <si>
    <t>£2319.00</t>
  </si>
  <si>
    <t>£1389.00</t>
  </si>
  <si>
    <t>Level 5 Extended Diploma in Health and Social Care (RQF)</t>
  </si>
  <si>
    <t>https://southlondoncollege.org/course/athe-level-5-extended-diploma-health-social-care/</t>
  </si>
  <si>
    <t xml:space="preserve">
Level 5 Extended Diploma in Law (RQF)</t>
  </si>
  <si>
    <t>https://southlondoncollege.org/course/athe-level-5-extended-diploma-law/</t>
  </si>
  <si>
    <t>£1,849.00</t>
  </si>
  <si>
    <t>£1,109.00</t>
  </si>
  <si>
    <t>£2219.00</t>
  </si>
  <si>
    <t>£1329.00</t>
  </si>
  <si>
    <t>Level 5 Extended Diploma in Supporting Teaching and Learning (RQF)</t>
  </si>
  <si>
    <t>https://southlondoncollege.org/course/athe-extended-diploma-supporting-teaching-learning/</t>
  </si>
  <si>
    <t xml:space="preserve">
Level 6 Certificate in Coaching (RQF)</t>
  </si>
  <si>
    <t>https://southlondoncollege.org/course/level-6-certificate-coaching/</t>
  </si>
  <si>
    <t xml:space="preserve">
Level 6 Certificate in Healthcare Management (RQF)</t>
  </si>
  <si>
    <t>https://southlondoncollege.org/course/athe-level-6-certificate-healthcare-management/</t>
  </si>
  <si>
    <t>£1199.00</t>
  </si>
  <si>
    <t>£719.00</t>
  </si>
  <si>
    <t>Level 6 Certificate in Mentoring (RQF)</t>
  </si>
  <si>
    <t>https://southlondoncollege.org/course/level-6-certificate-mentoring/</t>
  </si>
  <si>
    <t>Level 6 Certificate in Project Management (RQF)</t>
  </si>
  <si>
    <t>https://southlondoncollege.org/course/athe-level-6-certificate-project-management/</t>
  </si>
  <si>
    <t>£569.00</t>
  </si>
  <si>
    <t>Level 6 Diploma in Coaching and Mentoring (for People in Business/Organisations) – RQF</t>
  </si>
  <si>
    <t>https://southlondoncollege.org/course/athe-level-6-diploma-coaching-mentoring-people-business/</t>
  </si>
  <si>
    <t>Level 6 Diploma in Coaching and Mentoring (for People in Education and/or Training) – RQF</t>
  </si>
  <si>
    <t>https://southlondoncollege.org/course/athe-level-6-diploma-coaching-mentoring-people-education-training/</t>
  </si>
  <si>
    <t>Level 6 Diploma in Healthcare Management (RQF)</t>
  </si>
  <si>
    <t>https://southlondoncollege.org/course/athe-level-6-diploma-healthcare-management/</t>
  </si>
  <si>
    <t xml:space="preserve">
Level 6 Diploma in Management (Finance) – RQF</t>
  </si>
  <si>
    <t>https://southlondoncollege.org/course/athe-level-6-diploma-management-finance/</t>
  </si>
  <si>
    <t>Level 6 Diploma in Management (Operations Management) – RQF</t>
  </si>
  <si>
    <t>https://southlondoncollege.org/course/athe-level-6-diploma-management-operations-management/</t>
  </si>
  <si>
    <t>Level 6 Diploma in Management (RQF)</t>
  </si>
  <si>
    <t>https://southlondoncollege.org/course/athe-level-6-diploma-management/</t>
  </si>
  <si>
    <t>Level 6 Diploma in Management (Sales and Marketing) – RQF</t>
  </si>
  <si>
    <t>https://southlondoncollege.org/course/athe-level-6-diploma-management-sales-marketing/</t>
  </si>
  <si>
    <t>Level 6 Extended Diploma in Management (Finance) – RQF</t>
  </si>
  <si>
    <t>https://southlondoncollege.org/course/athe-level-6-extended-diploma-management-finance/</t>
  </si>
  <si>
    <t>Level 6 Extended Diploma in Management (Gen Ed) – RQF</t>
  </si>
  <si>
    <t>https://southlondoncollege.org/course/level-6-extended-diploma-management/</t>
  </si>
  <si>
    <t>Level 6 Extended Diploma in Management (Managing People) – RQF</t>
  </si>
  <si>
    <t>https://southlondoncollege.org/course/athe-level-6-extended-diploma-management-managing-people/</t>
  </si>
  <si>
    <t>Level 6 Extended Diploma in Management (Operations Management) – RQF</t>
  </si>
  <si>
    <t>https://southlondoncollege.org/course/athe-level-6-extended-diploma-management-operations-management/</t>
  </si>
  <si>
    <t>Level 6 Extended Diploma in Management (RQF)</t>
  </si>
  <si>
    <t>https://southlondoncollege.org/course/athe-level-6-extended-diploma-management/</t>
  </si>
  <si>
    <t>Level 6 Extended Diploma in Management (Sales and Marketing) – RQF</t>
  </si>
  <si>
    <t>https://southlondoncollege.org/course/athe-level-6-extended-diploma-management-sales-marketing/</t>
  </si>
  <si>
    <t>ATHE Level 7 Extended Diploma in Strategic Management</t>
  </si>
  <si>
    <t>https://southlondoncollege.org/course/athe-level-7-extended-diploma-in-strategic-management-course/</t>
  </si>
  <si>
    <t>£1419.00</t>
  </si>
  <si>
    <t>£889.00</t>
  </si>
  <si>
    <t>£1699.00</t>
  </si>
  <si>
    <t>£1019.00</t>
  </si>
  <si>
    <t xml:space="preserve">
Level 7 Certificate in Healthcare Management (RQF)</t>
  </si>
  <si>
    <t>https://southlondoncollege.org/course/athe-level-7-certificate-healthcare-management/</t>
  </si>
  <si>
    <t>£659.00</t>
  </si>
  <si>
    <t>£789.00</t>
  </si>
  <si>
    <t>Level 7 Certificate in Leading the Quality of Teaching, Learning and Assessment (RQF)</t>
  </si>
  <si>
    <t>https://southlondoncollege.org/course/athe-level-7-certificate-leading-quality-teaching-learning-assessment/</t>
  </si>
  <si>
    <t>£399.00</t>
  </si>
  <si>
    <t>Level 7 Certificate in Strategic Educational Leadership and Management (RQF)</t>
  </si>
  <si>
    <t>https://southlondoncollege.org/course/athe-level-7-certificate-strategic-educational-leadership-management/</t>
  </si>
  <si>
    <t>£759.00</t>
  </si>
  <si>
    <t>£459.00</t>
  </si>
  <si>
    <t>£909.00</t>
  </si>
  <si>
    <t>£549.00</t>
  </si>
  <si>
    <t>Level 7 Diploma in Healthcare Management (RQF)</t>
  </si>
  <si>
    <t>https://southlondoncollege.org/course/athe-level-7-diploma-healthcare-management/</t>
  </si>
  <si>
    <t>Level 7 Diploma in Strategic Educational Leadership and Management for Headteachers and Principals (RQF)</t>
  </si>
  <si>
    <t>https://southlondoncollege.org/course/level-7-diploma-strategic-educational-leadership-management-headteachers-principals/</t>
  </si>
  <si>
    <t>Level 7 Diploma in Strategic Educational Leadership and Management for Senior Managers (RQF)</t>
  </si>
  <si>
    <t>https://southlondoncollege.org/course/level-7-diploma-strategic-educational-leadership-management-senior-managers/</t>
  </si>
  <si>
    <t>Level 7 Diploma in Strategic Management (Finance) – RQF</t>
  </si>
  <si>
    <t>https://southlondoncollege.org/course/athe-level-7-diploma-strategic-management-finance/</t>
  </si>
  <si>
    <t>Level 7 Diploma in Strategic Management (International) – RQF</t>
  </si>
  <si>
    <t>https://southlondoncollege.org/course/athe-level-7-diploma-strategic-management-international/</t>
  </si>
  <si>
    <t xml:space="preserve">
Level 7 Diploma in Strategic Management (Managing People) – RQF</t>
  </si>
  <si>
    <t>https://southlondoncollege.org/course/athe-level-7-diploma-strategic-management-managing-people/</t>
  </si>
  <si>
    <t>Level 7 Diploma in Strategic Management (Marketing) – RQF</t>
  </si>
  <si>
    <t>https://southlondoncollege.org/course/athe-level-7-diploma-strategic-management-marketing/</t>
  </si>
  <si>
    <t xml:space="preserve">
Level 7 Diploma in Strategic Management (RQF)</t>
  </si>
  <si>
    <t>https://southlondoncollege.org/course/athe-level-7-diploma-strategic-management/</t>
  </si>
  <si>
    <t>Level 7 Extended Diploma in Accounting and Finance (RQF)</t>
  </si>
  <si>
    <t>https://southlondoncollege.org/course/athe-level-7-extended-diploma-accounting-finance/</t>
  </si>
  <si>
    <t>Level 7 Extended Diploma in Computing Technologies (Application Development) – RQF</t>
  </si>
  <si>
    <t>https://southlondoncollege.org/course/athe-level-7-extended-diploma-computing-technologies-application-development/</t>
  </si>
  <si>
    <t>Level 7 Extended Diploma in Computing Technologies (Artificial Intelligence) – RQF</t>
  </si>
  <si>
    <t>https://southlondoncollege.org/course/athe-level-7-extended-diploma-computing-technologies-artificial-intelligence/</t>
  </si>
  <si>
    <t>Level 7 Extended Diploma in Computing Technologies (Data Analytics) – RQF</t>
  </si>
  <si>
    <t>https://southlondoncollege.org/course/athe-level-7-extended-diploma-computing-technologies-data-analytics/</t>
  </si>
  <si>
    <t>Level 7 Extended Diploma in Computing Technologies (Networking) – RQF</t>
  </si>
  <si>
    <t>https://southlondoncollege.org/course/athe-level-7-extended-diploma-computing-technologies-networking/</t>
  </si>
  <si>
    <t>Level 7 Extended Diploma in Computing Technologies (RQF)</t>
  </si>
  <si>
    <t>https://southlondoncollege.org/course/athe-level-7-extended-diploma-computing-technologies/</t>
  </si>
  <si>
    <t>Level 7 Extended Diploma in Computing Technologies (Software Engineering) – RQF</t>
  </si>
  <si>
    <t>https://southlondoncollege.org/course/athe-level-7-extended-diploma-computing-technologies-software-engineering/</t>
  </si>
  <si>
    <t>Level 7 Extended Diploma in Strategic Educational Leadership and Management (RQF)</t>
  </si>
  <si>
    <t>https://southlondoncollege.org/course/athe-level-7-extended-diploma-strategic-educational-leadership-management/</t>
  </si>
  <si>
    <t>Level 7 Extended Diploma in Strategic Management (Finance) – RQF</t>
  </si>
  <si>
    <t>https://southlondoncollege.org/course/athe-level-7-extended-diploma-strategic-management-finance/</t>
  </si>
  <si>
    <t xml:space="preserve">
Level 7 Extended Diploma in Strategic Management (International) – RQF</t>
  </si>
  <si>
    <t>https://southlondoncollege.org/course/athe-level-7-extended-diploma-strategic-management-international/</t>
  </si>
  <si>
    <t>Level 7 Extended Diploma in Strategic Management (Managing People) – RQF</t>
  </si>
  <si>
    <t>https://southlondoncollege.org/course/athe-level-7-extended-diploma-strategic-management-managing-people/</t>
  </si>
  <si>
    <t>Level 7 Extended Diploma in Strategic Management (Marketing) – RQF</t>
  </si>
  <si>
    <t>https://southlondoncollege.org/course/athe-level-7-extended-diploma-strategic-management-marketing/</t>
  </si>
  <si>
    <t>Level 3 Award in Artificial Intelligence (AI) In Education – RQF</t>
  </si>
  <si>
    <t>https://southlondoncollege.org/course/level-3-award-in-artificial-intelligence-in-education/</t>
  </si>
  <si>
    <t>£579.00</t>
  </si>
  <si>
    <t>£349.00</t>
  </si>
  <si>
    <t>£699.00</t>
  </si>
  <si>
    <t>£419.00</t>
  </si>
  <si>
    <t>Focus Awards</t>
  </si>
  <si>
    <t>Level 3 Award in Assessing Competence in the Work Environment (RQF)</t>
  </si>
  <si>
    <t>https://southlondoncollege.org/course/level-3-award-in-assessing-competence-in-the-work-environment/</t>
  </si>
  <si>
    <t>£239.00</t>
  </si>
  <si>
    <t>£479.00</t>
  </si>
  <si>
    <t>£289.00</t>
  </si>
  <si>
    <t xml:space="preserve">
Level 3 Award in Assessing Vocationally Related Achievement (RQF)</t>
  </si>
  <si>
    <t>https://southlondoncollege.org/course/level-3-award-in-assessing-vocationally-related-achievement/</t>
  </si>
  <si>
    <t>Level 3 Award in Nutrition for Physical Activity (RQF)</t>
  </si>
  <si>
    <t>https://southlondoncollege.org/course/level-3-award-in-nutrition-for-physical-activity/</t>
  </si>
  <si>
    <t xml:space="preserve">£479.00 </t>
  </si>
  <si>
    <t>Level 3 Award in Supporting Teaching and Learning in Schools (RQF)</t>
  </si>
  <si>
    <t>https://southlondoncollege.org/course/level-3-award-in-supporting-teaching-and-learning-in-schools/</t>
  </si>
  <si>
    <t>£415.00</t>
  </si>
  <si>
    <t>£249.00</t>
  </si>
  <si>
    <t>Level 3 Award in Understanding Human Anatomy and Physiology (RQF)</t>
  </si>
  <si>
    <t>https://southlondoncollege.org/course/level-3-award-in-understanding-human-anatomy-and-physiology/</t>
  </si>
  <si>
    <t>Level 3 Award in Understanding the Principles and Practices of Assessment (RQF)</t>
  </si>
  <si>
    <t>https://southlondoncollege.org/course/level-3-understanding-the-principles-and-practices-of-assessment/</t>
  </si>
  <si>
    <t>£319.00</t>
  </si>
  <si>
    <t>£189.00</t>
  </si>
  <si>
    <t>£379.00</t>
  </si>
  <si>
    <t>£229.00</t>
  </si>
  <si>
    <t>Level 3 Certificate in Assessing Vocational Achievement (CAVA) – RQF</t>
  </si>
  <si>
    <t>https://southlondoncollege.org/course/level-3-certificate-in-assessing-vocational-achievement/</t>
  </si>
  <si>
    <t>Level 3 Certificate in Leisure Management (RQF)</t>
  </si>
  <si>
    <t>https://southlondoncollege.org/course/level-3-leisure-management-course/</t>
  </si>
  <si>
    <t>£979.00</t>
  </si>
  <si>
    <t>£589.00</t>
  </si>
  <si>
    <t>£1179.00</t>
  </si>
  <si>
    <t>£709.00</t>
  </si>
  <si>
    <t>Level 3 Certificate in Planning and Delivering Personal Training (RQF)</t>
  </si>
  <si>
    <t>https://southlondoncollege.org/course/level-3-certificate-in-personal-training/</t>
  </si>
  <si>
    <t>Level 3 Certificate in Preparing to Work in Adult Social Care (RQF)</t>
  </si>
  <si>
    <t>https://southlondoncollege.org/course/level-3-certificate-in-preparing-to-work-in-adult-social-care/</t>
  </si>
  <si>
    <t>Level 3 Certificate in Sports Development (RQF)</t>
  </si>
  <si>
    <t>https://southlondoncollege.org/course/level-3-certificate-sports-development/</t>
  </si>
  <si>
    <t>Level 3 Certificate in Supporting Teaching and Learning in Schools (RQF)</t>
  </si>
  <si>
    <t>https://southlondoncollege.org/course/level-3-certificate-in-supporting-teaching-and-learning-in-schools/</t>
  </si>
  <si>
    <t>Level 3 Certificate in Supporting the Delivery of Physical Education and School Sport (RQF)</t>
  </si>
  <si>
    <t>https://southlondoncollege.org/course/level-3-certificate-supporting-pe-school-sport/</t>
  </si>
  <si>
    <t>Level 3 Certificate in The Principles of Business and Administration (RQF)</t>
  </si>
  <si>
    <t>https://southlondoncollege.org/course/level-3-certificate-in-principles-of-business-and-administration/</t>
  </si>
  <si>
    <t>Level 3 Diploma for The Children and Young People’s Workforce (RQF)</t>
  </si>
  <si>
    <t>https://southlondoncollege.org/course/level-3-diploma-young-peoples-workforce/</t>
  </si>
  <si>
    <t xml:space="preserve">
Level 3 Diploma for The Children’s Workforce (Early Years Educator) – RQF</t>
  </si>
  <si>
    <t>https://southlondoncollege.org/course/level-3-diploma-early-years-educator/</t>
  </si>
  <si>
    <t>Level 3 Diploma in Adult Care (RQF)</t>
  </si>
  <si>
    <t>https://southlondoncollege.org/course/level-3-diploma-adult-care/</t>
  </si>
  <si>
    <t>£879.00</t>
  </si>
  <si>
    <t>£529.00</t>
  </si>
  <si>
    <t>£1059.00</t>
  </si>
  <si>
    <t>£639.00</t>
  </si>
  <si>
    <t xml:space="preserve">
Level 3 Diploma in Business Administration (RQF)</t>
  </si>
  <si>
    <t>https://southlondoncollege.org/course/level-3-diploma-in-business-administration/</t>
  </si>
  <si>
    <t>£1,329.00</t>
  </si>
  <si>
    <t>£799.00</t>
  </si>
  <si>
    <t>£1599.00</t>
  </si>
  <si>
    <t xml:space="preserve">
Level 3 Diploma in Business and Management (RQF)</t>
  </si>
  <si>
    <t>https://southlondoncollege.org/course/athe-level-3-diploma-business-management/</t>
  </si>
  <si>
    <t>Level 3 Diploma in Customer Services (RQF)</t>
  </si>
  <si>
    <t>https://southlondoncollege.org/course/level-3-customer-service-qualification/</t>
  </si>
  <si>
    <t>Level 3 Diploma in Leisure Management (RQF)</t>
  </si>
  <si>
    <t>https://southlondoncollege.org/course/level-3-diploma-leisure-management/</t>
  </si>
  <si>
    <t>Level 3 Diploma in Personal Training (RQF)</t>
  </si>
  <si>
    <t>https://southlondoncollege.org/course/level-3-diploma-in-personal-training/</t>
  </si>
  <si>
    <t xml:space="preserve">
Level 3 Diploma in Playwork (NVQ) – RQF</t>
  </si>
  <si>
    <t>https://southlondoncollege.org/course/level-3-diploma-in-playwork/</t>
  </si>
  <si>
    <t>Level 3 Diploma in Specialist Support for Teaching and Learning in Schools (RQF)</t>
  </si>
  <si>
    <t>https://southlondoncollege.org/course/level-3-diploma-in-specialist-support-for-teaching-and-learning-in-schools/</t>
  </si>
  <si>
    <t>£669.00</t>
  </si>
  <si>
    <t>Level 3 Diploma in Sports Development (RQF)</t>
  </si>
  <si>
    <t>https://southlondoncollege.org/course/level-3-diploma-in-sports-development/</t>
  </si>
  <si>
    <t>Level 3 Diploma in Sports Massage Therapy (RQF)</t>
  </si>
  <si>
    <t>https://southlondoncollege.org/course/level-3-diploma-in-sports-massage-therapy/</t>
  </si>
  <si>
    <t>Level 3 Diploma Master in Gym Instructing and Personal Training (RQF)</t>
  </si>
  <si>
    <t>https://southlondoncollege.org/course/level-3-personal-trainer-gym-instructor/</t>
  </si>
  <si>
    <t>Level 3 Diploma Practitioner in Personal Training (RQF)</t>
  </si>
  <si>
    <t>https://southlondoncollege.org/course/level-3-diploma-practitioner-in-personal-training/</t>
  </si>
  <si>
    <t>Level 3 Diploma Specialist in Gym Instructing and Personal Training (RQF)</t>
  </si>
  <si>
    <t>https://southlondoncollege.org/course/level-3-diploma-in-fitness-instructing-and-personal-training/</t>
  </si>
  <si>
    <t>Level 3 Diploma Specialist in Personal Training (RQF)</t>
  </si>
  <si>
    <t>https://southlondoncollege.org/course/level-3-personal-trainer-course/</t>
  </si>
  <si>
    <t>Level 3 Extended Diploma for Personal Training Practitioners (RQF)</t>
  </si>
  <si>
    <t>https://southlondoncollege.org/course/level-3-extended-diploma-for-personal-training-practitioners/</t>
  </si>
  <si>
    <t>Level 4 Award in the Internal Quality Assurance of Assessment Processes and Practices (RQF)</t>
  </si>
  <si>
    <t>https://southlondoncollege.org/course/level-4-iqa-qualification/</t>
  </si>
  <si>
    <t>£429.00</t>
  </si>
  <si>
    <t>Level 4 Award in Understanding the External Quality Assurance of Assessment Processes and Practice (RQF)</t>
  </si>
  <si>
    <t>https://southlondoncollege.org/course/level-4-award-in-external-quality-assurance-of-assessment-processes/</t>
  </si>
  <si>
    <t>Level 4 Award in Understanding the Internal Quality Assurance of Assessment Processes and Practices (RQF)</t>
  </si>
  <si>
    <t>https://southlondoncollege.org/course/level-4-award-iqa-qualification/</t>
  </si>
  <si>
    <t xml:space="preserve">
Level 4 Certificate for Advanced Personal Trainers (RQF)</t>
  </si>
  <si>
    <t>https://southlondoncollege.org/course/level-4-certificate-advanced-personal-trainers/</t>
  </si>
  <si>
    <t>Level 4 Certificate for Higher Level Teaching Assistants (HLTA) – RQF</t>
  </si>
  <si>
    <t>https://southlondoncollege.org/course/level-4-teaching-assistant-course/</t>
  </si>
  <si>
    <t>Level 4 Certificate in Education and Training (CET / CTLLS) – RQF</t>
  </si>
  <si>
    <t>https://southlondoncollege.org/course/level-4-education-and-training/</t>
  </si>
  <si>
    <t>Level 4 Certificate in Leading the Internal Quality Assurance of Assessment Processes and Practices (RQF)</t>
  </si>
  <si>
    <t>https://southlondoncollege.org/course/level-4-quality-assurance-certificate/</t>
  </si>
  <si>
    <t xml:space="preserve">
Level 4 Diploma in Adult Care (RQF)</t>
  </si>
  <si>
    <t>https://southlondoncollege.org/course/level-4-diploma-in-adult-care/</t>
  </si>
  <si>
    <t>Level 4 Diploma in Advanced Care Practitioner (RQF)</t>
  </si>
  <si>
    <t>https://southlondoncollege.org/course/level-4-diploma-in-advanced-care-practitioner/</t>
  </si>
  <si>
    <t>Level 4 Diploma Master Gym Instructing and Personal Training (RQF)</t>
  </si>
  <si>
    <t>https://southlondoncollege.org/course/level-4-personal-trainer-gym-instructer-course/</t>
  </si>
  <si>
    <t xml:space="preserve">
Level 4 Diploma Master Personal Training (RQF)</t>
  </si>
  <si>
    <t>https://southlondoncollege.org/course/level-4-diploma-master-personal-training/</t>
  </si>
  <si>
    <t>Level 4 NVQ Diploma in Business Administration (RQF)</t>
  </si>
  <si>
    <t>https://southlondoncollege.org/course/level-4-nvq-diploma-in-business-administration/</t>
  </si>
  <si>
    <t>£1,429.00</t>
  </si>
  <si>
    <t>£859.00</t>
  </si>
  <si>
    <t>£1719.00</t>
  </si>
  <si>
    <t>£1029.00</t>
  </si>
  <si>
    <t xml:space="preserve">
Level 4 NVQ Diploma in Customer Service (RQF)</t>
  </si>
  <si>
    <t>https://southlondoncollege.org/course/level-4-nvq-diploma-in-customer-service/</t>
  </si>
  <si>
    <t>Level 5 Certificate in Teaching English as A Foreign Language (TEFL) – RQF</t>
  </si>
  <si>
    <t>https://southlondoncollege.org/course/tefl-level-5-course/</t>
  </si>
  <si>
    <t>Level 5 Diploma in Health, Wellbeing and Lifestyle Management Coaching (RQF)</t>
  </si>
  <si>
    <t>https://southlondoncollege.org/course/level-5-diploma-in-health-wellbeing-and-lifestyle-management-coaching/</t>
  </si>
  <si>
    <t>Level 5 Diploma in Leadership for Health and Social Care and Children and Young People’s Services (England) – RQF</t>
  </si>
  <si>
    <t>https://southlondoncollege.org/course/level-5-diploma-in-leadership-for-health-and-social-care/</t>
  </si>
  <si>
    <t>Level 5 Diploma in Leading and Managing an Adult Care Service (RQF)</t>
  </si>
  <si>
    <t>https://southlondoncollege.org/course/level-5-diploma-in-leadership-and-management-for-adult-care/</t>
  </si>
  <si>
    <t>Level 5 Diploma in Management and Leadership (RQF)</t>
  </si>
  <si>
    <t>https://southlondoncollege.org/course/level-5-diploma-in-management-and-leadership/</t>
  </si>
  <si>
    <t>Level 5 Diploma in Teaching (Further Education and Skills / DIT) – RQF</t>
  </si>
  <si>
    <t>https://southlondoncollege.org/course/level-5-diploma-in-teaching-dit/</t>
  </si>
  <si>
    <t xml:space="preserve">
Level 1 Functional Skills Qualification in English (RQF)</t>
  </si>
  <si>
    <t>https://southlondoncollege.org/course/ncfe-level-1-functional-skills-qualification-english/</t>
  </si>
  <si>
    <t>NCFE</t>
  </si>
  <si>
    <t>Level 1 Functional Skills Qualification in Mathematics (RQF)</t>
  </si>
  <si>
    <t>https://southlondoncollege.org/course/ncfe-level-1-functional-skills-qualification-in-mathematics/</t>
  </si>
  <si>
    <t>Level 2 Functional Skills Qualification in English (RQF)</t>
  </si>
  <si>
    <t>https://southlondoncollege.org/course/ncfe-level-2-functional-skills-qualification-english/</t>
  </si>
  <si>
    <t>£329.00</t>
  </si>
  <si>
    <t xml:space="preserve">
Level 3 Diploma in Skills for Business</t>
  </si>
  <si>
    <t>https://southlondoncollege.org/course/ncfe-level-3-diploma-skills-business/</t>
  </si>
  <si>
    <t xml:space="preserve">NCFE </t>
  </si>
  <si>
    <t>Level 5 Diploma in Teaching (Further Education and Skills) – RQF</t>
  </si>
  <si>
    <t>https://southlondoncollege.org/course/ncfe-level-5-diploma-teaching-further-education-skills/</t>
  </si>
  <si>
    <t>Level 1 Digital Functional Skills (RQF)</t>
  </si>
  <si>
    <t>https://southlondoncollege.org/course/ncfe-level-1-digital-functional-skill/</t>
  </si>
  <si>
    <t>NCFE CACHE</t>
  </si>
  <si>
    <t>Level 2 Adult Social Care and Mental Health Awareness (RQF) – Two Course Bundle</t>
  </si>
  <si>
    <t>https://southlondoncollege.org/course/level-2-adult-social-care-and-mental-health-awareness-bundle/</t>
  </si>
  <si>
    <t>£1159.00</t>
  </si>
  <si>
    <t>Level 2 Adult Social Care Certificate (RQF)</t>
  </si>
  <si>
    <t>https://southlondoncollege.org/course/level-2-adult-social-care-certificate/</t>
  </si>
  <si>
    <t>£839.00</t>
  </si>
  <si>
    <t>£1009.00</t>
  </si>
  <si>
    <t>£609.00</t>
  </si>
  <si>
    <t>Level 2 Award in Awareness of Dementia</t>
  </si>
  <si>
    <t>https://southlondoncollege.org/course/ncfe-cache-level-2-award-in-awareness-of-dementia/</t>
  </si>
  <si>
    <t>£219.00</t>
  </si>
  <si>
    <t>Level 2 Award in Awareness of End of Life Care</t>
  </si>
  <si>
    <t>https://southlondoncollege.org/course/ncfe-cache-level-2-award-in-awareness-of-end-of-life-care-2/</t>
  </si>
  <si>
    <t>Level 2 Award in Babysitting</t>
  </si>
  <si>
    <t>https://southlondoncollege.org/course/ncfe-cache-level-2-award-in-babysitting/</t>
  </si>
  <si>
    <t>Level 2 Award in Food Safety in Health and Social Care and Early Years and Childcare Settings</t>
  </si>
  <si>
    <t>https://southlondoncollege.org/course/ncfe-cache-level-2-award-in-food-safety-in-health-and-social-care-and-early-years-and-childcare-settings/</t>
  </si>
  <si>
    <t>Level 2 Certificate in Counselling Skills</t>
  </si>
  <si>
    <t>https://southlondoncollege.org/course/ncfe-cache-level-2-certificate-in-counselling-skills/</t>
  </si>
  <si>
    <t>£279.00</t>
  </si>
  <si>
    <t xml:space="preserve">
Level 2 Certificate in the Principles of Dementia Care</t>
  </si>
  <si>
    <t>https://southlondoncollege.org/course/ncfe-cache-level-2-certificate-in-principles-of-dementia-care/</t>
  </si>
  <si>
    <t>Level 2 Certificate in Understanding Dignity and Safeguarding in Adult Health and Social Care</t>
  </si>
  <si>
    <t>https://southlondoncollege.org/course/ncfe-cache-level-2-certificate-in-understanding-dignity-and-safeguarding-in-adult-health-and-social-care/</t>
  </si>
  <si>
    <t>Level 2 Certificate in Understanding Mental Health First Aid and Mental Health Advocacy in the Workplace</t>
  </si>
  <si>
    <t>https://southlondoncollege.org/course/ncfe-cache-level-2-certificate-in-understanding-mental-health-first-aid-and-mental-health-advocacy-in-the-workplace/</t>
  </si>
  <si>
    <t>Level 2 Certificate in Understanding Nutrition and Health</t>
  </si>
  <si>
    <t>https://southlondoncollege.org/course/ncfe-cache-level-2-certificate-in-understanding-nutrition-and-health/</t>
  </si>
  <si>
    <t>Level 2 Certificate in Understanding Safeguarding and Prevent</t>
  </si>
  <si>
    <t>https://southlondoncollege.org/course/ncfe-cache-level-2-certificate-in-understanding-safeguarding-and-prevent/</t>
  </si>
  <si>
    <t>Level 2 Certificate Introducing Caring for Children and Young People</t>
  </si>
  <si>
    <t>https://southlondoncollege.org/course/ncfe-cache-level-2-certificate-introducing-caring-for-children-and-young-people/</t>
  </si>
  <si>
    <t>Level 2 Functional Skills Qualification in Mathematics (RQF)</t>
  </si>
  <si>
    <t>https://southlondoncollege.org/course/ncfe-level-2-functional-skills-qualification-in-mathematics/</t>
  </si>
  <si>
    <t>Level 3 Award for Special Educational Needs Coordinators in Early Years Settings (RQF)</t>
  </si>
  <si>
    <t>https://southlondoncollege.org/course/ncfe-cache-level-3-award-special-educational-needs-coordinators-early-years-settings/</t>
  </si>
  <si>
    <t>£259.00</t>
  </si>
  <si>
    <t>£519.00</t>
  </si>
  <si>
    <t>£309.00</t>
  </si>
  <si>
    <t xml:space="preserve">
Level 3 Award in Awareness of Dementia</t>
  </si>
  <si>
    <t>https://southlondoncollege.org/course/ncfe-cache-level-3-award-in-awareness-of-dementia/</t>
  </si>
  <si>
    <t>Level 3 Award in Childcare and Education</t>
  </si>
  <si>
    <t>https://southlondoncollege.org/course/ncfe-cache-level-3-award-in-childcare-and-education/</t>
  </si>
  <si>
    <t>Level 3 Award in Counselling Skills and Theory</t>
  </si>
  <si>
    <t>https://southlondoncollege.org/course/ncfe-cache-level-3-award-in-counselling-skills-and-theory/</t>
  </si>
  <si>
    <t>Level 3 Award in Health and Social Care</t>
  </si>
  <si>
    <t>https://southlondoncollege.org/course/ncfe-cache-level-3-award-in-health-and-social-care-3/</t>
  </si>
  <si>
    <t>Level 3 Award in Preparing to Work in Home Based Childcare (RQF)</t>
  </si>
  <si>
    <t>https://southlondoncollege.org/course/ncfe-cache-level-3-award-preparing-work-home-based-childcare/</t>
  </si>
  <si>
    <t>Level 3 Award in Supporting Children and Young People’s Speech, Language and Communication (RQF)</t>
  </si>
  <si>
    <t>https://southlondoncollege.org/course/ncfe-cache-level-3-award-supporting-children-young-peoples-speech-language-communication/</t>
  </si>
  <si>
    <t>Level 3 Award in Supporting Individuals with Learning Disabilities</t>
  </si>
  <si>
    <t>https://southlondoncollege.org/course/ncfe-cache-level-3-award-in-supporting-individuals-with-learning-disabilities/</t>
  </si>
  <si>
    <t>Level 3 Certificate in Health and Social Care (RQF)</t>
  </si>
  <si>
    <t>https://southlondoncollege.org/course/ncfe-cache-level-3-certificate-in-health-and-social-care/</t>
  </si>
  <si>
    <t>https://southlondoncollege.org/course/ncfe-cache-level-3-certificate-in-preparing-to-work-in-adult-social-care/</t>
  </si>
  <si>
    <t xml:space="preserve">
Level 3 Certificate in the Principles of End of Life Care (RQF)</t>
  </si>
  <si>
    <t>https://southlondoncollege.org/course/ncfe-cache-level-3-certificate-principles-end-life-care/</t>
  </si>
  <si>
    <t>Level 3 Certificate in Understanding Autism (RQF)</t>
  </si>
  <si>
    <t>https://southlondoncollege.org/course/ncfe-cache-level-3-certificate-understanding-autism/</t>
  </si>
  <si>
    <t>Level 3 Certificate in Understanding Mental Health (RQF)</t>
  </si>
  <si>
    <t>https://southlondoncollege.org/course/ncfe-cache-level-3-certificate-in-understanding-mental-health/</t>
  </si>
  <si>
    <t>Level 3 Certificate in Understanding the Care and Management of Diabetes (RQF)</t>
  </si>
  <si>
    <t>https://southlondoncollege.org/course/ncfe-cache-level-3-certificate-understanding-care-management-diabetes/</t>
  </si>
  <si>
    <t>Level 3 Certificate in Understanding the Principles of Dementia Care (RQF)</t>
  </si>
  <si>
    <t>https://southlondoncollege.org/course/ncfe-cache-level-3-certificate-understanding-principles-dementia-care/</t>
  </si>
  <si>
    <t>Level 3 Diploma for Business Administrators</t>
  </si>
  <si>
    <t>https://southlondoncollege.org/course/ncfe-level-3-diploma-business-administrators/</t>
  </si>
  <si>
    <t>Level 3 Diploma for Residential Childcare (England) – RQF</t>
  </si>
  <si>
    <t>https://southlondoncollege.org/course/ncfe-cache-level-3-diploma-residential-childcare-england/</t>
  </si>
  <si>
    <t>£1,989.00</t>
  </si>
  <si>
    <t>£1,189.00</t>
  </si>
  <si>
    <t>£2389.00</t>
  </si>
  <si>
    <t>£1429.00</t>
  </si>
  <si>
    <t>Level 3 Diploma for the Children and Young People’s Workforce (England) (Social Care) – RQF</t>
  </si>
  <si>
    <t>https://southlondoncollege.org/course/ncfe-cache-level-3-diploma-children-young-peoples-workforce-england-social-care/</t>
  </si>
  <si>
    <t>Level 3 Diploma for the Children and Young People’s Workforce (England) (Learning, Development and Support Services) – RQF</t>
  </si>
  <si>
    <t>https://southlondoncollege.org/course/level-3-diploma-for-the-children-and-young-peoples-workforce-england-learning-development-and-support-services-rqf/</t>
  </si>
  <si>
    <t>£1,869.00</t>
  </si>
  <si>
    <t>£1,169.00</t>
  </si>
  <si>
    <t>£2239.00</t>
  </si>
  <si>
    <t>£1339.00</t>
  </si>
  <si>
    <t>Level 3 Diploma for Working in the Early Years Sector (Early Years Educator) – RQF</t>
  </si>
  <si>
    <t>https://southlondoncollege.org/course/ncfe-cache-level-3-diploma-working-early-years-sector/</t>
  </si>
  <si>
    <t>https://southlondoncollege.org/course/ncfe-cache-level-3-diploma-in-adult-care-2/</t>
  </si>
  <si>
    <t>£819.00</t>
  </si>
  <si>
    <t>£509.00</t>
  </si>
  <si>
    <t>Level 3 Diploma in Counselling Skills (RQF)</t>
  </si>
  <si>
    <t>https://southlondoncollege.org/course/ncfe-cache-level-3-diploma-in-counselling-skills/</t>
  </si>
  <si>
    <t>£769.00</t>
  </si>
  <si>
    <t>£919.00</t>
  </si>
  <si>
    <t>Level 3 Diploma in Healthcare Support (RQF)</t>
  </si>
  <si>
    <t>https://southlondoncollege.org/course/ncfe-cache-level-3-diploma-healthcare-support/</t>
  </si>
  <si>
    <t>Level 3 Diploma in Management Skills and Knowledge</t>
  </si>
  <si>
    <t>https://southlondoncollege.org/course/ncfe-level-3-diploma-management-skills-knowledge/</t>
  </si>
  <si>
    <t>Level 3 Extended Diploma in Health and Social Care (RQF)</t>
  </si>
  <si>
    <t>https://southlondoncollege.org/course/ncfe-cache-level-3-extended-diploma-in-health-and-social-care/</t>
  </si>
  <si>
    <t>£1,009.00</t>
  </si>
  <si>
    <t>£629.00</t>
  </si>
  <si>
    <t>£1209.00</t>
  </si>
  <si>
    <t>£729.00</t>
  </si>
  <si>
    <t>Level 4 Diploma in Adult Care (RQF)</t>
  </si>
  <si>
    <t>https://southlondoncollege.org/course/ncfe-cache-level-4-diploma-in-adult-care/</t>
  </si>
  <si>
    <t>£1,059.00</t>
  </si>
  <si>
    <t>£1269.00</t>
  </si>
  <si>
    <t xml:space="preserve">
Level 5 Diploma in Leadership and Management for Adult Care (RQF)</t>
  </si>
  <si>
    <t>https://southlondoncollege.org/course/ncfe-cache-level-5-diploma-in-leadership-and-management-for-adult-care/</t>
  </si>
  <si>
    <t>Level 5 Diploma in Leadership and Management for Residential Childcare (England) – RQF</t>
  </si>
  <si>
    <t>https://southlondoncollege.org/course/ncfe-cache-level-5-diploma-leadership-management-residential-childcare-england/</t>
  </si>
  <si>
    <t>Level 5 Diploma in Leadership for Health and Social Care and Children and Young People’s Services (RQF)</t>
  </si>
  <si>
    <t>https://southlondoncollege.org/course/ncfe-cache-level-5-diploma-leadership-health-social-care-children-young-peoples-services/</t>
  </si>
  <si>
    <t>Pearson BTEC Level 3 Award in Education and Training – AET (Formerly PTLLS)</t>
  </si>
  <si>
    <t>https://southlondoncollege.org/course/pearson-btec-level-3-aet/</t>
  </si>
  <si>
    <t>Pearson BTEC</t>
  </si>
  <si>
    <t>Pearson BTEC Level 4 Certificate in Education and Training (RQF)</t>
  </si>
  <si>
    <t>https://southlondoncollege.org/course/pearson-btec-level-4-certificate-in-education-and-training-rqf/</t>
  </si>
  <si>
    <t>Pearson BTEC Level 4 Certificate in Management and Leadership</t>
  </si>
  <si>
    <t>https://southlondoncollege.org/course/pearson-btec-level-4-certificate-in-management-and-leadership/</t>
  </si>
  <si>
    <t>Pearson BTEC Level 4 Diploma in Business Administration</t>
  </si>
  <si>
    <t>https://southlondoncollege.org/course/pearson-btec-level-4-diploma-in-business-administration-2/</t>
  </si>
  <si>
    <t>Pearson BTEC Level 4 Diploma in Management and Leadership</t>
  </si>
  <si>
    <t>https://southlondoncollege.org/course/peason-btec-level-4-diploma-in-management-and-leadership/</t>
  </si>
  <si>
    <t>Pearson BTEC Level 7 Certificate in Strategic Management and Leadership (RQF)</t>
  </si>
  <si>
    <t>https://southlondoncollege.org/course/pearson-btec-level-7-certificate-in-strategic-management-and-leadership-rqf-2021/</t>
  </si>
  <si>
    <t xml:space="preserve">
Pearson BTEC Level 7 Diploma in Strategic Management and Leadership (RQF)</t>
  </si>
  <si>
    <t>https://southlondoncollege.org/course/a3-pearson-btec-level-7-diploma-in-strategic-management-and-leadership-rqf-2021/</t>
  </si>
  <si>
    <t>£1,409.00</t>
  </si>
  <si>
    <t>£1689.00</t>
  </si>
  <si>
    <t xml:space="preserve">
Pre-MBA – PEARSON BTEC Level 7 Extended Diploma in Strategic Management and Leadership (RQF)</t>
  </si>
  <si>
    <t>https://southlondoncollege.org/course/a1-pre-mba-pearson-btec-level-7-extended-diploma-in-strategic-management-and-leadership-rqf-2021/</t>
  </si>
  <si>
    <t>Advanced Certificate in Management and Leadership at QLS Level 3</t>
  </si>
  <si>
    <t>https://southlondoncollege.org/course/advanced-certificate-in-management-and-leadership-at-qls-level-3-2/</t>
  </si>
  <si>
    <t>£139.00</t>
  </si>
  <si>
    <t>N/A</t>
  </si>
  <si>
    <t>QLS</t>
  </si>
  <si>
    <t>Advanced Diploma in Animal Care and Business at QLS Level 3</t>
  </si>
  <si>
    <t>https://southlondoncollege.org/course/advanced-diploma-in-animal-care-and-business-level-3/</t>
  </si>
  <si>
    <t>Advanced Diploma in Animal Care at QLS Level 3</t>
  </si>
  <si>
    <t>https://southlondoncollege.org/course/advanced-diploma-in-animal-care-level-3/</t>
  </si>
  <si>
    <t>Advanced Diploma in Animal Care Career at QLS Level 3</t>
  </si>
  <si>
    <t>https://southlondoncollege.org/course/advanced-diploma-in-animal-care-career-level-3/</t>
  </si>
  <si>
    <t>Advanced Diploma in Animal Physical Therapy at QLS Level 3</t>
  </si>
  <si>
    <t>https://southlondoncollege.org/course/advanced-diploma-in-animal-physical-therapy-level-3/</t>
  </si>
  <si>
    <t>Advanced Diploma in Animal Psychology at QLS Level 3</t>
  </si>
  <si>
    <t>https://southlondoncollege.org/course/advanced-diploma-in-animal-psychology-level-3/</t>
  </si>
  <si>
    <t>Advanced Diploma in Beauty Technician at QLS Level 3</t>
  </si>
  <si>
    <t>https://southlondoncollege.org/course/advanced-diploma-in-beauty-technician-level-3/</t>
  </si>
  <si>
    <t xml:space="preserve">Advanced Diploma in Business Administration at QLS Level </t>
  </si>
  <si>
    <t>https://southlondoncollege.org/course/advanced-diploma-in-business-administration-level-3/</t>
  </si>
  <si>
    <t>Advanced Diploma in Business Management at QLS Level 4</t>
  </si>
  <si>
    <t>https://southlondoncollege.org/course/advanced-diploma-in-business-management-at-qls-level-4-2/</t>
  </si>
  <si>
    <t>Advanced Diploma in Business Management at QLS Level 5</t>
  </si>
  <si>
    <t>https://southlondoncollege.org/course/advanced-diploma-in-business-management-at-qls-level-5-2/</t>
  </si>
  <si>
    <t>Advanced Diploma in Business Starting Up at QLS Level 3</t>
  </si>
  <si>
    <t>https://southlondoncollege.org/course/advanced-diploma-in-business-starting-up-level-3/</t>
  </si>
  <si>
    <t>Advanced Diploma in Cosmetology at QLS Level 3</t>
  </si>
  <si>
    <t>https://southlondoncollege.org/course/advanced-diploma-in-cosmetology-level-3/</t>
  </si>
  <si>
    <t>Advanced Diploma in Customer Service at QLS Level 3</t>
  </si>
  <si>
    <t>https://southlondoncollege.org/course/advanced-diploma-in-customer-service-level-3/</t>
  </si>
  <si>
    <t>Advanced Diploma in Dog Behaviour and Training at QLS Level 3</t>
  </si>
  <si>
    <t>https://southlondoncollege.org/course/advanced-diploma-in-dog-behaviour-and-training-level-3/</t>
  </si>
  <si>
    <t>£189.010</t>
  </si>
  <si>
    <t>Advanced Diploma in Dog Grooming at QLS Level 3</t>
  </si>
  <si>
    <t>https://southlondoncollege.org/course/advanced-diploma-in-dog-grooming-level-3/</t>
  </si>
  <si>
    <t>Advanced Diploma in Hair Styling at QLS Level 3</t>
  </si>
  <si>
    <t>https://southlondoncollege.org/course/advanced-diploma-in-hair-styling-level-3/</t>
  </si>
  <si>
    <t>Advanced Diploma in Interior Designing at QLS Level 3</t>
  </si>
  <si>
    <t>https://southlondoncollege.org/course/advanced-diploma-in-interior-designing-level-3/</t>
  </si>
  <si>
    <t>Advanced Diploma in Public Relations at QLS Level 3</t>
  </si>
  <si>
    <t>https://southlondoncollege.org/course/advanced-diploma-in-public-relations-level-3/</t>
  </si>
  <si>
    <t>Advanced Diploma in Veterinary Support Assistant at QLS Level 3</t>
  </si>
  <si>
    <t>https://southlondoncollege.org/course/advanced-diploma-in-veterinary-support-assistant-level-3/</t>
  </si>
  <si>
    <t>Advanced Diploma in Wedding Planning at QLS Level 3</t>
  </si>
  <si>
    <t>https://southlondoncollege.org/course/advanced-diploma-in-wedding-planning-level-3/</t>
  </si>
  <si>
    <t>Certificate in Management and Leadership at QLS Level 3</t>
  </si>
  <si>
    <t>https://southlondoncollege.org/course/certificate-in-management-and-leadership-at-qls-level-3-2/</t>
  </si>
  <si>
    <t>Certificate in Management and Leadership at QLS Level 4</t>
  </si>
  <si>
    <t>https://southlondoncollege.org/course/certificate-in-management-and-leadership-at-qls-level-4-2/</t>
  </si>
  <si>
    <t>Certificate in Management and Leadership at QLS Level 5</t>
  </si>
  <si>
    <t>https://southlondoncollege.org/course/certificate-in-management-and-leadership-at-qls-level-5-2/</t>
  </si>
  <si>
    <t>£149.00</t>
  </si>
  <si>
    <t>Certificate in Management at QLS Level 5</t>
  </si>
  <si>
    <t>https://southlondoncollege.org/course/certificate-in-management-at-qls-level-5/</t>
  </si>
  <si>
    <t>Certificate in Personal Confidence and Motivation at QLS Level 2</t>
  </si>
  <si>
    <t>https://southlondoncollege.org/course/certificate-in-personal-confidence-and-motivation-level-2/</t>
  </si>
  <si>
    <t>£99.00</t>
  </si>
  <si>
    <t>£59.00</t>
  </si>
  <si>
    <t>Certificate in Strategic Management and Leadership Practices at QLS Level 7</t>
  </si>
  <si>
    <t>https://southlondoncollege.org/course/certificate-in-strategic-management-and-leadership-practices-at-qls-level-7/</t>
  </si>
  <si>
    <t>£339.00</t>
  </si>
  <si>
    <t>£209.00</t>
  </si>
  <si>
    <t>Certificate in Strategic Management at QLS Level 7</t>
  </si>
  <si>
    <t>https://southlondoncollege.org/course/certificate-in-strategic-management-at-qls-level-7/</t>
  </si>
  <si>
    <t>Diploma in Administration and Leadership Practices at QLS Level 3</t>
  </si>
  <si>
    <t>https://southlondoncollege.org/course/diploma-in-administration-and-leadership-practices-at-qls-level-3-2/</t>
  </si>
  <si>
    <t>£89.00</t>
  </si>
  <si>
    <t>Diploma in Administration and Leadership Practices at QLS Level 4</t>
  </si>
  <si>
    <t>https://southlondoncollege.org/course/diploma-in-administration-and-leadership-practices-at-qls-level-4-2/</t>
  </si>
  <si>
    <t>£119.00</t>
  </si>
  <si>
    <t>Diploma in Administration and Leadership Practices at QLS Level 5</t>
  </si>
  <si>
    <t>https://southlondoncollege.org/course/diploma-in-administration-and-leadership-practices-at-qls-level-5-2/</t>
  </si>
  <si>
    <t>Diploma in Advanced Financial Reporting at QLS Level 5</t>
  </si>
  <si>
    <t>https://southlondoncollege.org/course/diploma-in-advanced-financial-reporting-level-5/</t>
  </si>
  <si>
    <t>Diploma in Advanced Pest Control at QLS Level 3</t>
  </si>
  <si>
    <t>https://southlondoncollege.org/course/diploma-in-advanced-pest-control-level-3/</t>
  </si>
  <si>
    <t>Diploma in Agricultural Pest Control at QLS Level 4</t>
  </si>
  <si>
    <t>https://southlondoncollege.org/course/diploma-in-agricultural-pest-control-level-4/</t>
  </si>
  <si>
    <t xml:space="preserve">
Diploma in Agricultural Pesticide Awareness at QLS Level 4</t>
  </si>
  <si>
    <t>https://southlondoncollege.org/course/diploma-in-agricultural-pesticide-awareness-level-4/</t>
  </si>
  <si>
    <t>Diploma in Applied Business Analysis at QLS Level 3</t>
  </si>
  <si>
    <t>https://southlondoncollege.org/course/diploma-in-applied-business-analysis-level-3/</t>
  </si>
  <si>
    <t>Diploma in Banking at QLS Level 3</t>
  </si>
  <si>
    <t>https://southlondoncollege.org/course/diploma-in-banking-level-3/</t>
  </si>
  <si>
    <t>Diploma in Basic Chemistry at QLS Level 3</t>
  </si>
  <si>
    <t>https://southlondoncollege.org/course/diploma-in-basic-chemistry-level-3/</t>
  </si>
  <si>
    <t xml:space="preserve">
Diploma in Basic Concrete at QLS Level 3</t>
  </si>
  <si>
    <t>https://southlondoncollege.org/course/diploma-in-basic-concrete-level-3/</t>
  </si>
  <si>
    <t xml:space="preserve">
Diploma in Business and Administration Practices at QLS Level 5</t>
  </si>
  <si>
    <t>https://southlondoncollege.org/course/diploma-in-business-and-administration-practices-at-qls-level-5-2/</t>
  </si>
  <si>
    <t>Diploma in Business and Administrative Management at QLS Level 4</t>
  </si>
  <si>
    <t>https://southlondoncollege.org/course/diploma-in-business-and-administrative-management-at-qls-level-4-2/</t>
  </si>
  <si>
    <t>Diploma in Business and Management at QLS Level 3</t>
  </si>
  <si>
    <t>https://southlondoncollege.org/course/diploma-in-business-and-management-level-3/</t>
  </si>
  <si>
    <t>Diploma in Business and Management at QLS Level 6</t>
  </si>
  <si>
    <t>https://southlondoncollege.org/course/diploma-in-business-and-management-at-qls-level-6-2/</t>
  </si>
  <si>
    <t>£179.00</t>
  </si>
  <si>
    <t>Diploma in Business Economics at QLS Level 3</t>
  </si>
  <si>
    <t>https://southlondoncollege.org/course/diploma-in-business-economics-level-3/</t>
  </si>
  <si>
    <t>Diploma in Business Ethics and Corporate Governance at QLS Level 3</t>
  </si>
  <si>
    <t>https://southlondoncollege.org/course/diploma-in-business-ethics-and-corporate-governance-level-3/</t>
  </si>
  <si>
    <t xml:space="preserve">
Diploma in Business Ethics and Law at QLS Level 3</t>
  </si>
  <si>
    <t>https://southlondoncollege.org/course/diploma-in-business-ethics-and-law-level-3/</t>
  </si>
  <si>
    <t>Diploma in Business Information Management at QLS Level 3</t>
  </si>
  <si>
    <t>https://southlondoncollege.org/course/diploma-in-business-information-management-level-3/</t>
  </si>
  <si>
    <t>Diploma in Business Information Systems at QLS Level 3</t>
  </si>
  <si>
    <t>https://southlondoncollege.org/course/diploma-in-business-information-systems-level-3/</t>
  </si>
  <si>
    <t>Diploma in Business Law at QLS Level 3</t>
  </si>
  <si>
    <t>https://southlondoncollege.org/course/diploma-in-business-law-level-3/</t>
  </si>
  <si>
    <t>Diploma in Business Management at QLS Level 3</t>
  </si>
  <si>
    <t>https://southlondoncollege.org/course/diploma-in-business-management-level-3/</t>
  </si>
  <si>
    <t>Diploma in Business Management at QLS Level 4</t>
  </si>
  <si>
    <t>https://southlondoncollege.org/course/diploma-in-business-management-level-4/</t>
  </si>
  <si>
    <t xml:space="preserve">
Diploma in Business Management at QLS Level 5</t>
  </si>
  <si>
    <t>https://southlondoncollege.org/course/diploma-in-business-management-level-5/</t>
  </si>
  <si>
    <t>Diploma in Business Supervision at QLS Level 3</t>
  </si>
  <si>
    <t>https://southlondoncollege.org/course/diploma-in-business-supervision-at-qls-level-3-2/</t>
  </si>
  <si>
    <t>Diploma in Care of the Senior Pets at QLS Level 3</t>
  </si>
  <si>
    <t>https://southlondoncollege.org/course/diploma-in-care-of-the-senior-pets-level-3/</t>
  </si>
  <si>
    <t>Diploma in Central Banking Monetary Policy at QLS Level 3</t>
  </si>
  <si>
    <t>https://southlondoncollege.org/course/diploma-in-central-banking-monetary-policy-level-3/</t>
  </si>
  <si>
    <t>Diploma in Chemical Handling at QLS Level 4</t>
  </si>
  <si>
    <t>https://southlondoncollege.org/course/diploma-in-chemical-handling-level-4/</t>
  </si>
  <si>
    <t>Diploma in Chlorination at QLS Level 4</t>
  </si>
  <si>
    <t>https://southlondoncollege.org/course/diploma-in-chlorination-level-4/</t>
  </si>
  <si>
    <t xml:space="preserve">
Diploma in Coaching and Mentoring at QLS Level 7</t>
  </si>
  <si>
    <t>https://southlondoncollege.org/course/diploma-in-coaching-and-mentoring-at-qls-level-7/</t>
  </si>
  <si>
    <t xml:space="preserve">
Diploma in Collection Construction at QLS Level 4</t>
  </si>
  <si>
    <t>https://southlondoncollege.org/course/diploma-in-collection-construction-level-4/</t>
  </si>
  <si>
    <t>Diploma in Collection Operation and Maintenance at QLS Level 4</t>
  </si>
  <si>
    <t>https://southlondoncollege.org/course/diploma-in-collection-operation-and-maintenance-level-4/</t>
  </si>
  <si>
    <t xml:space="preserve">
Diploma in Collection System Operator at QLS Level 4</t>
  </si>
  <si>
    <t>https://southlondoncollege.org/course/diploma-in-collection-system-operator-level-4/</t>
  </si>
  <si>
    <t>Diploma in Computing &amp; Information Technology at QLS Level 4</t>
  </si>
  <si>
    <t>https://southlondoncollege.org/course/diploma-in-computing-information-technology-at-qls-level-4-2/</t>
  </si>
  <si>
    <t>Diploma in Corporate and Management at QLS Level 4</t>
  </si>
  <si>
    <t>https://southlondoncollege.org/course/diploma-in-corporate-and-management-at-qls-level-4-2/</t>
  </si>
  <si>
    <t xml:space="preserve">
Diploma in Corporate Business and Administrative Management at QLS Level 5</t>
  </si>
  <si>
    <t>https://southlondoncollege.org/course/diploma-in-corporate-business-and-administrative-management-at-qls-level-5-2/</t>
  </si>
  <si>
    <t>Diploma in Corporate Business at QLS Level 3</t>
  </si>
  <si>
    <t>https://southlondoncollege.org/course/diploma-in-corporate-business-at-qls-level-3-2/</t>
  </si>
  <si>
    <t>Diploma in Corporate Governance &amp; Business Law at QLS Level 3</t>
  </si>
  <si>
    <t>https://southlondoncollege.org/course/diploma-in-corporate-governance-business-law-level-3/</t>
  </si>
  <si>
    <t>Diploma in Cost Analysis at QLS Level 3</t>
  </si>
  <si>
    <t>https://southlondoncollege.org/course/diploma-in-cost-analysis-level-3/</t>
  </si>
  <si>
    <t>Diploma in Counselling Skills at QLS Level 2</t>
  </si>
  <si>
    <t>https://southlondoncollege.org/course/diploma-in-counselling-skills-level-2/</t>
  </si>
  <si>
    <t>Diploma in Customer Service and Opera PMS Software Training at QLS Level 3</t>
  </si>
  <si>
    <t>https://southlondoncollege.org/course/diploma-in-customer-service-and-opera-pms-software-training-level-3/</t>
  </si>
  <si>
    <t>Diploma in Customer Service at QLS Level 4</t>
  </si>
  <si>
    <t>https://southlondoncollege.org/course/diploma-in-customer-service-level-4/</t>
  </si>
  <si>
    <t>Diploma in Disinfection Basics at QLS Level 3</t>
  </si>
  <si>
    <t>https://southlondoncollege.org/course/diploma-in-disinfection-basics-level-3/</t>
  </si>
  <si>
    <t>Diploma in Essential Cat and Kitten Care at QLS Level 3</t>
  </si>
  <si>
    <t>https://southlondoncollege.org/course/diploma-in-essential-cat-and-kitten-care-level-3/</t>
  </si>
  <si>
    <t xml:space="preserve">
Diploma In Excavation &amp; Trenching at QLS Level 4</t>
  </si>
  <si>
    <t>https://southlondoncollege.org/course/diploma-in-excavation-trenching-level-4/</t>
  </si>
  <si>
    <t>Diploma in Foreign Exchange Market at QLS Level 3</t>
  </si>
  <si>
    <t>https://southlondoncollege.org/course/diploma-in-foreign-exchange-market-level-3/</t>
  </si>
  <si>
    <t>Diploma in General Pest Control at QLS Level 4</t>
  </si>
  <si>
    <t>https://southlondoncollege.org/course/diploma-in-general-pest-control-level-4/</t>
  </si>
  <si>
    <t>Diploma in Geo Economics at QLS Level 3</t>
  </si>
  <si>
    <t>https://southlondoncollege.org/course/diploma-in-geo-economics-level-3/</t>
  </si>
  <si>
    <t>Diploma in Hotel Management and Opera PMS Software Training at QLS Level 3</t>
  </si>
  <si>
    <t>https://southlondoncollege.org/course/diploma-in-hotel-management-and-opera-pms-software-training-level-3/</t>
  </si>
  <si>
    <t>Diploma in Human Resource Management at QLS Level 4</t>
  </si>
  <si>
    <t>https://southlondoncollege.org/course/diploma-in-human-resource-management-level-4/</t>
  </si>
  <si>
    <t>Diploma in Hydraulic Principles at QLS Level 4</t>
  </si>
  <si>
    <t>https://southlondoncollege.org/course/diploma-in-hydraulic-principles-level-4/</t>
  </si>
  <si>
    <t>Diploma in Innovation and Small Business Management at QLS Level 3</t>
  </si>
  <si>
    <t>https://southlondoncollege.org/course/diploma-in-innovation-and-small-business-management-level-3/</t>
  </si>
  <si>
    <t>Diploma in Investment and Finance at QLS Level 3</t>
  </si>
  <si>
    <t>https://southlondoncollege.org/course/diploma-in-investment-and-finance-level-3/</t>
  </si>
  <si>
    <t>Diploma in Leadership and Management at QLS Level 3</t>
  </si>
  <si>
    <t>https://southlondoncollege.org/course/diploma-in-leadership-and-management-level-3/</t>
  </si>
  <si>
    <t xml:space="preserve">
Diploma in Macroeconomics at QLS Level 3</t>
  </si>
  <si>
    <t>https://southlondoncollege.org/course/diploma-in-macroeconomics-level-3/</t>
  </si>
  <si>
    <t>Diploma in Management and Leadership at QLS Level 3</t>
  </si>
  <si>
    <t>https://southlondoncollege.org/course/diploma-in-management-and-leadership-at-qls-level-3-2/</t>
  </si>
  <si>
    <t>Diploma In Mastering SPSS Software And Analysis at QLS Level 2</t>
  </si>
  <si>
    <t>https://southlondoncollege.org/course/diploma-in-mastering-spss-software-and-analysis-level-2/</t>
  </si>
  <si>
    <t>Diploma in Modern Disinfection at QLS Level 4</t>
  </si>
  <si>
    <t>https://southlondoncollege.org/course/diploma-in-modern-disinfection-level-4/</t>
  </si>
  <si>
    <t>Diploma in Money and Monetary Policy at QLS Level 3</t>
  </si>
  <si>
    <t>https://southlondoncollege.org/course/diploma-in-money-and-monetary-policy-level-3/</t>
  </si>
  <si>
    <t>Diploma in Office Administration and Bookkeeping at QLS Level 4</t>
  </si>
  <si>
    <t>https://southlondoncollege.org/course/diploma-in-office-administration-and-bookkeeping-level-4/</t>
  </si>
  <si>
    <t>Diploma in Office Administration and HR at QLS Level 4</t>
  </si>
  <si>
    <t>https://southlondoncollege.org/course/diploma-in-office-administration-and-hr-level-4/</t>
  </si>
  <si>
    <t>Diploma in Office Administration and Management at QLS Level 4</t>
  </si>
  <si>
    <t>https://southlondoncollege.org/course/diploma-in-office-administration-and-management-level-4/</t>
  </si>
  <si>
    <t>Diploma in Office Administration and PA at QLS Level 4</t>
  </si>
  <si>
    <t>https://southlondoncollege.org/course/diploma-in-office-administration-and-pa-level-4/</t>
  </si>
  <si>
    <t>Diploma in Office Administration and Reception at QLS Level 4</t>
  </si>
  <si>
    <t>https://southlondoncollege.org/course/diploma-in-office-administration-and-reception-level-4/</t>
  </si>
  <si>
    <t xml:space="preserve">
Diploma in Office Administration at QLS Level 4</t>
  </si>
  <si>
    <t>https://southlondoncollege.org/course/diploma-in-office-administration-level-4/</t>
  </si>
  <si>
    <t>Diploma in Pathogen Studies at QLS Level 4</t>
  </si>
  <si>
    <t>https://southlondoncollege.org/course/diploma-in-pathogen-studies-level-4/</t>
  </si>
  <si>
    <t>Diploma in Pumping Principles at QLS Level 3</t>
  </si>
  <si>
    <t>https://southlondoncollege.org/course/diploma-in-pumping-principles-level-3/</t>
  </si>
  <si>
    <t>Diploma in Pumping Principles at QLS Level 4</t>
  </si>
  <si>
    <t>https://southlondoncollege.org/course/diploma-in-pumping-principles-level-4/</t>
  </si>
  <si>
    <t>Diploma in Pumping System at QLS Level 4</t>
  </si>
  <si>
    <t>https://southlondoncollege.org/course/diploma-in-pumping-system-level-4/</t>
  </si>
  <si>
    <t>Diploma in Pumps and Motors at QLS Level 4</t>
  </si>
  <si>
    <t>https://southlondoncollege.org/course/diploma-in-pumps-and-motors-level-4/</t>
  </si>
  <si>
    <t>Diploma in Strategic and Administrative Management at QLS Level 7</t>
  </si>
  <si>
    <t>https://southlondoncollege.org/course/diploma-in-strategic-and-administrative-management-at-qls-level-7/</t>
  </si>
  <si>
    <t>£109.00</t>
  </si>
  <si>
    <t>Diploma in Strategic Marketing at QLS Level 3</t>
  </si>
  <si>
    <t>https://southlondoncollege.org/course/diploma-in-strategic-marketing-level-3/</t>
  </si>
  <si>
    <t xml:space="preserve">
Diploma in Supervision at QLS Level 3</t>
  </si>
  <si>
    <t>https://southlondoncollege.org/course/diploma-in-supervision-level-3/</t>
  </si>
  <si>
    <t>Diploma In Systems Analysis And Design at QLS Level 4</t>
  </si>
  <si>
    <t>https://southlondoncollege.org/course/diploma-in-systems-analysis-and-design-level-4/</t>
  </si>
  <si>
    <t>Diploma in Travel and Tourism Management at QLS Level 4</t>
  </si>
  <si>
    <t>https://southlondoncollege.org/course/diploma-in-travel-and-tourism-management-at-qls-level-4-2/</t>
  </si>
  <si>
    <t>Diploma in Valve Operation and System Design at QLS Level 4</t>
  </si>
  <si>
    <t>https://southlondoncollege.org/course/diploma-in-valve-operation-and-system-design-level-4/</t>
  </si>
  <si>
    <t>Diploma in Valves and Fittings at QLS Level 4</t>
  </si>
  <si>
    <t>https://southlondoncollege.org/course/diploma-in-valves-and-fittings-level-4/</t>
  </si>
  <si>
    <t xml:space="preserve">
Diploma in Water Chemistry at QLS Level 4</t>
  </si>
  <si>
    <t>https://southlondoncollege.org/course/diploma-in-water-chemistry-level-4/</t>
  </si>
  <si>
    <t xml:space="preserve">
Diploma in Water Treatment at QLS Level 4</t>
  </si>
  <si>
    <t>https://southlondoncollege.org/course/diploma-in-water-treatment-level-4/</t>
  </si>
  <si>
    <t xml:space="preserve">
Diploma in Water Treatment Process Control at QLS Level 3</t>
  </si>
  <si>
    <t>https://southlondoncollege.org/course/diploma-in-water-treatment-process-control-level-3/</t>
  </si>
  <si>
    <t>Diploma in Weeds Identification and Control at QLS Level 4</t>
  </si>
  <si>
    <t>https://southlondoncollege.org/course/diploma-in-weeds-identification-and-control-level-4/</t>
  </si>
  <si>
    <t>Diploma in Writing Essays at QLS Level 3</t>
  </si>
  <si>
    <t>https://southlondoncollege.org/course/diploma-in-writing-essays-level-3/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</si>
</sst>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;[Red]\-&quot;£&quot;#,##0.00"/>
    <numFmt numFmtId="165" formatCode="_-[$£-809]* #,##0.00_-;\-[$£-809]* #,##0.00_-;_-[$£-809]* &quot;-&quot;??_-;_-@_-"/>
  </numFmts>
  <fonts count="14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</font>
    <font>
      <sz val="10"/>
      <color rgb="FFFF0000"/>
      <name val="Arial Unicode MS"/>
    </font>
    <font>
      <b/>
      <sz val="11"/>
      <color rgb="FFFF0000"/>
      <name val="Calibri"/>
    </font>
    <font>
      <sz val="11"/>
      <color rgb="FFFF0000"/>
      <name val="Aptos Narrow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3" fillId="0" borderId="0" xfId="0" applyFont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0" fillId="0" borderId="5" xfId="0" applyBorder="1"/>
    <xf numFmtId="0" fontId="0" fillId="3" borderId="0" xfId="0" applyFill="1"/>
    <xf numFmtId="0" fontId="0" fillId="3" borderId="4" xfId="0" applyFill="1" applyBorder="1"/>
    <xf numFmtId="0" fontId="0" fillId="3" borderId="1" xfId="0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left" vertical="center" wrapText="1"/>
    </xf>
    <xf numFmtId="0" fontId="2" fillId="4" borderId="7" xfId="1" applyFill="1" applyBorder="1" applyAlignment="1">
      <alignment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9" fontId="8" fillId="4" borderId="7" xfId="2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left" vertical="center" wrapText="1"/>
    </xf>
    <xf numFmtId="0" fontId="2" fillId="5" borderId="7" xfId="1" applyFill="1" applyBorder="1" applyAlignment="1">
      <alignment wrapText="1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9" fontId="8" fillId="5" borderId="7" xfId="2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wrapText="1"/>
    </xf>
    <xf numFmtId="0" fontId="0" fillId="6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left" vertical="center" wrapText="1"/>
    </xf>
    <xf numFmtId="0" fontId="2" fillId="6" borderId="7" xfId="1" applyFill="1" applyBorder="1" applyAlignment="1">
      <alignment wrapText="1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9" fontId="8" fillId="6" borderId="7" xfId="2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3" fillId="6" borderId="7" xfId="0" applyFont="1" applyFill="1" applyBorder="1" applyAlignment="1">
      <alignment horizontal="left" vertical="center" wrapText="1"/>
    </xf>
    <xf numFmtId="0" fontId="2" fillId="6" borderId="7" xfId="1" applyFill="1" applyBorder="1" applyAlignment="1">
      <alignment horizontal="left" vertical="top" wrapText="1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9" fontId="7" fillId="4" borderId="9" xfId="2" applyFont="1" applyFill="1" applyBorder="1" applyAlignment="1">
      <alignment horizontal="center" vertical="center"/>
    </xf>
    <xf numFmtId="9" fontId="7" fillId="5" borderId="9" xfId="2" applyFont="1" applyFill="1" applyBorder="1" applyAlignment="1">
      <alignment horizontal="center" vertical="center"/>
    </xf>
    <xf numFmtId="9" fontId="7" fillId="6" borderId="9" xfId="2" applyFont="1" applyFill="1" applyBorder="1" applyAlignment="1">
      <alignment horizontal="center" vertical="center"/>
    </xf>
    <xf numFmtId="9" fontId="7" fillId="6" borderId="7" xfId="2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165" fontId="10" fillId="7" borderId="7" xfId="0" applyNumberFormat="1" applyFont="1" applyFill="1" applyBorder="1" applyAlignment="1">
      <alignment horizontal="center" vertical="center"/>
    </xf>
    <xf numFmtId="165" fontId="11" fillId="7" borderId="7" xfId="2" applyNumberFormat="1" applyFont="1" applyFill="1" applyBorder="1" applyAlignment="1">
      <alignment horizontal="center"/>
    </xf>
    <xf numFmtId="165" fontId="12" fillId="7" borderId="7" xfId="2" applyNumberFormat="1" applyFont="1" applyFill="1" applyBorder="1" applyAlignment="1">
      <alignment horizontal="center" vertical="center"/>
    </xf>
    <xf numFmtId="165" fontId="12" fillId="7" borderId="7" xfId="0" applyNumberFormat="1" applyFont="1" applyFill="1" applyBorder="1" applyAlignment="1">
      <alignment horizontal="center" vertical="center"/>
    </xf>
    <xf numFmtId="9" fontId="1" fillId="2" borderId="7" xfId="2" applyFont="1" applyFill="1" applyBorder="1" applyAlignment="1">
      <alignment horizontal="center"/>
    </xf>
    <xf numFmtId="9" fontId="4" fillId="4" borderId="7" xfId="2" applyFont="1" applyFill="1" applyBorder="1" applyAlignment="1">
      <alignment horizontal="center" vertical="center"/>
    </xf>
    <xf numFmtId="9" fontId="3" fillId="4" borderId="7" xfId="2" applyFont="1" applyFill="1" applyBorder="1" applyAlignment="1">
      <alignment horizontal="center" vertical="center"/>
    </xf>
    <xf numFmtId="9" fontId="11" fillId="7" borderId="7" xfId="2" applyFont="1" applyFill="1" applyBorder="1" applyAlignment="1">
      <alignment horizontal="center"/>
    </xf>
    <xf numFmtId="0" fontId="11" fillId="7" borderId="7" xfId="2" applyNumberFormat="1" applyFont="1" applyFill="1" applyBorder="1" applyAlignment="1">
      <alignment horizontal="center"/>
    </xf>
    <xf numFmtId="9" fontId="12" fillId="7" borderId="7" xfId="2" applyFont="1" applyFill="1" applyBorder="1" applyAlignment="1">
      <alignment horizontal="center" vertical="center"/>
    </xf>
    <xf numFmtId="165" fontId="7" fillId="7" borderId="7" xfId="2" applyNumberFormat="1" applyFont="1" applyFill="1" applyBorder="1" applyAlignment="1">
      <alignment horizontal="center" vertical="center"/>
    </xf>
    <xf numFmtId="0" fontId="12" fillId="7" borderId="7" xfId="2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165" fontId="7" fillId="3" borderId="0" xfId="0" applyNumberFormat="1" applyFont="1" applyFill="1" applyAlignment="1">
      <alignment horizontal="center" vertical="center"/>
    </xf>
    <xf numFmtId="9" fontId="0" fillId="3" borderId="0" xfId="2" applyFont="1" applyFill="1" applyBorder="1" applyAlignment="1">
      <alignment horizontal="center" vertical="center"/>
    </xf>
    <xf numFmtId="9" fontId="7" fillId="3" borderId="0" xfId="2" applyFont="1" applyFill="1" applyBorder="1" applyAlignment="1">
      <alignment horizontal="center" vertical="center"/>
    </xf>
    <xf numFmtId="165" fontId="7" fillId="3" borderId="0" xfId="2" applyNumberFormat="1" applyFont="1" applyFill="1" applyAlignment="1">
      <alignment horizontal="center" vertical="center"/>
    </xf>
    <xf numFmtId="9" fontId="0" fillId="3" borderId="0" xfId="2" applyFont="1" applyFill="1" applyAlignment="1">
      <alignment horizontal="center" vertical="center"/>
    </xf>
    <xf numFmtId="9" fontId="7" fillId="3" borderId="0" xfId="2" applyFont="1" applyFill="1" applyAlignment="1">
      <alignment horizontal="center" vertical="center"/>
    </xf>
    <xf numFmtId="0" fontId="7" fillId="3" borderId="0" xfId="2" applyNumberFormat="1" applyFont="1" applyFill="1" applyAlignment="1">
      <alignment horizontal="center" vertical="center"/>
    </xf>
    <xf numFmtId="9" fontId="7" fillId="3" borderId="0" xfId="2" applyFont="1" applyFill="1" applyBorder="1"/>
    <xf numFmtId="165" fontId="7" fillId="3" borderId="0" xfId="2" applyNumberFormat="1" applyFont="1" applyFill="1"/>
    <xf numFmtId="9" fontId="0" fillId="3" borderId="0" xfId="2" applyFont="1" applyFill="1"/>
    <xf numFmtId="9" fontId="7" fillId="3" borderId="0" xfId="2" applyFont="1" applyFill="1"/>
    <xf numFmtId="0" fontId="7" fillId="3" borderId="0" xfId="2" applyNumberFormat="1" applyFont="1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thlondoncollege.org/course/ncfe-cache-level-2-award-in-awareness-of-dementia/" TargetMode="External"/><Relationship Id="rId299" Type="http://schemas.openxmlformats.org/officeDocument/2006/relationships/hyperlink" Target="https://southlondoncollege.org/course/athe-level-7-extended-diploma-strategic-management-marketing/" TargetMode="External"/><Relationship Id="rId21" Type="http://schemas.openxmlformats.org/officeDocument/2006/relationships/hyperlink" Target="https://southlondoncollege.org/course/certificate-in-management-and-leadership-at-qls-level-3-2/" TargetMode="External"/><Relationship Id="rId63" Type="http://schemas.openxmlformats.org/officeDocument/2006/relationships/hyperlink" Target="https://southlondoncollege.org/course/diploma-in-corporate-business-and-administrative-management-at-qls-level-5-2/" TargetMode="External"/><Relationship Id="rId159" Type="http://schemas.openxmlformats.org/officeDocument/2006/relationships/hyperlink" Target="https://southlondoncollege.org/course/level-3-certificate-in-supporting-teaching-and-learning-in-schools/" TargetMode="External"/><Relationship Id="rId170" Type="http://schemas.openxmlformats.org/officeDocument/2006/relationships/hyperlink" Target="https://southlondoncollege.org/course/ncfe-cache-level-3-diploma-children-young-peoples-workforce-england-social-care/" TargetMode="External"/><Relationship Id="rId226" Type="http://schemas.openxmlformats.org/officeDocument/2006/relationships/hyperlink" Target="https://southlondoncollege.org/course/athe-level-4-extended-diploma-computing/" TargetMode="External"/><Relationship Id="rId268" Type="http://schemas.openxmlformats.org/officeDocument/2006/relationships/hyperlink" Target="https://southlondoncollege.org/course/athe-level-6-diploma-management-operations-management/" TargetMode="External"/><Relationship Id="rId32" Type="http://schemas.openxmlformats.org/officeDocument/2006/relationships/hyperlink" Target="https://southlondoncollege.org/course/diploma-in-advanced-pest-control-level-3/" TargetMode="External"/><Relationship Id="rId74" Type="http://schemas.openxmlformats.org/officeDocument/2006/relationships/hyperlink" Target="https://southlondoncollege.org/course/diploma-in-geo-economics-level-3/" TargetMode="External"/><Relationship Id="rId128" Type="http://schemas.openxmlformats.org/officeDocument/2006/relationships/hyperlink" Target="https://southlondoncollege.org/course/ncfe-cache-level-3-award-special-educational-needs-coordinators-early-years-settings/" TargetMode="External"/><Relationship Id="rId5" Type="http://schemas.openxmlformats.org/officeDocument/2006/relationships/hyperlink" Target="https://southlondoncollege.org/course/advanced-diploma-in-animal-physical-therapy-level-3/" TargetMode="External"/><Relationship Id="rId181" Type="http://schemas.openxmlformats.org/officeDocument/2006/relationships/hyperlink" Target="https://southlondoncollege.org/course/level-3-diploma-in-business-administration/" TargetMode="External"/><Relationship Id="rId237" Type="http://schemas.openxmlformats.org/officeDocument/2006/relationships/hyperlink" Target="https://southlondoncollege.org/course/athe-level-5-diploma-computing/" TargetMode="External"/><Relationship Id="rId279" Type="http://schemas.openxmlformats.org/officeDocument/2006/relationships/hyperlink" Target="https://southlondoncollege.org/course/athe-level-7-certificate-strategic-educational-leadership-management/" TargetMode="External"/><Relationship Id="rId43" Type="http://schemas.openxmlformats.org/officeDocument/2006/relationships/hyperlink" Target="https://southlondoncollege.org/course/diploma-in-business-economics-level-3/" TargetMode="External"/><Relationship Id="rId139" Type="http://schemas.openxmlformats.org/officeDocument/2006/relationships/hyperlink" Target="https://southlondoncollege.org/course/level-3-award-introduction-digital-technologies/" TargetMode="External"/><Relationship Id="rId290" Type="http://schemas.openxmlformats.org/officeDocument/2006/relationships/hyperlink" Target="https://southlondoncollege.org/course/athe-level-7-extended-diploma-computing-technologies-artificial-intelligence/" TargetMode="External"/><Relationship Id="rId304" Type="http://schemas.openxmlformats.org/officeDocument/2006/relationships/hyperlink" Target="https://southlondoncollege.org/course/peason-btec-level-4-diploma-in-management-and-leadership/" TargetMode="External"/><Relationship Id="rId85" Type="http://schemas.openxmlformats.org/officeDocument/2006/relationships/hyperlink" Target="https://southlondoncollege.org/course/diploma-in-modern-disinfection-level-4/" TargetMode="External"/><Relationship Id="rId150" Type="http://schemas.openxmlformats.org/officeDocument/2006/relationships/hyperlink" Target="https://southlondoncollege.org/course/level-3-understanding-the-principles-and-practices-of-assessment/" TargetMode="External"/><Relationship Id="rId192" Type="http://schemas.openxmlformats.org/officeDocument/2006/relationships/hyperlink" Target="https://southlondoncollege.org/course/level-3-diploma-in-playwork/" TargetMode="External"/><Relationship Id="rId206" Type="http://schemas.openxmlformats.org/officeDocument/2006/relationships/hyperlink" Target="https://southlondoncollege.org/course/level-4-award-in-external-quality-assurance-of-assessment-processes/" TargetMode="External"/><Relationship Id="rId248" Type="http://schemas.openxmlformats.org/officeDocument/2006/relationships/hyperlink" Target="https://southlondoncollege.org/course/ncfe-level-5-diploma-teaching-further-education-skills/" TargetMode="External"/><Relationship Id="rId12" Type="http://schemas.openxmlformats.org/officeDocument/2006/relationships/hyperlink" Target="https://southlondoncollege.org/course/advanced-diploma-in-cosmetology-level-3/" TargetMode="External"/><Relationship Id="rId108" Type="http://schemas.openxmlformats.org/officeDocument/2006/relationships/hyperlink" Target="https://southlondoncollege.org/course/diploma-in-water-treatment-process-control-level-3/" TargetMode="External"/><Relationship Id="rId54" Type="http://schemas.openxmlformats.org/officeDocument/2006/relationships/hyperlink" Target="https://southlondoncollege.org/course/diploma-in-central-banking-monetary-policy-level-3/" TargetMode="External"/><Relationship Id="rId96" Type="http://schemas.openxmlformats.org/officeDocument/2006/relationships/hyperlink" Target="https://southlondoncollege.org/course/diploma-in-pumping-system-level-4/" TargetMode="External"/><Relationship Id="rId161" Type="http://schemas.openxmlformats.org/officeDocument/2006/relationships/hyperlink" Target="https://southlondoncollege.org/course/level-3-certificate-foundations-teaching/" TargetMode="External"/><Relationship Id="rId217" Type="http://schemas.openxmlformats.org/officeDocument/2006/relationships/hyperlink" Target="https://southlondoncollege.org/course/athe-level-4-diploma-computing/" TargetMode="External"/><Relationship Id="rId259" Type="http://schemas.openxmlformats.org/officeDocument/2006/relationships/hyperlink" Target="https://southlondoncollege.org/course/athe-extended-diploma-supporting-teaching-learning/" TargetMode="External"/><Relationship Id="rId23" Type="http://schemas.openxmlformats.org/officeDocument/2006/relationships/hyperlink" Target="https://southlondoncollege.org/course/certificate-in-management-and-leadership-at-qls-level-5-2/" TargetMode="External"/><Relationship Id="rId119" Type="http://schemas.openxmlformats.org/officeDocument/2006/relationships/hyperlink" Target="https://southlondoncollege.org/course/ncfe-cache-level-2-certificate-in-counselling-skills/" TargetMode="External"/><Relationship Id="rId270" Type="http://schemas.openxmlformats.org/officeDocument/2006/relationships/hyperlink" Target="https://southlondoncollege.org/course/athe-level-6-diploma-management-sales-marketing/" TargetMode="External"/><Relationship Id="rId44" Type="http://schemas.openxmlformats.org/officeDocument/2006/relationships/hyperlink" Target="https://southlondoncollege.org/course/diploma-in-business-ethics-and-corporate-governance-level-3/" TargetMode="External"/><Relationship Id="rId65" Type="http://schemas.openxmlformats.org/officeDocument/2006/relationships/hyperlink" Target="https://southlondoncollege.org/course/diploma-in-corporate-governance-business-law-level-3/" TargetMode="External"/><Relationship Id="rId86" Type="http://schemas.openxmlformats.org/officeDocument/2006/relationships/hyperlink" Target="https://southlondoncollege.org/course/diploma-in-money-and-monetary-policy-level-3/" TargetMode="External"/><Relationship Id="rId130" Type="http://schemas.openxmlformats.org/officeDocument/2006/relationships/hyperlink" Target="https://southlondoncollege.org/course/level-3-award-in-assessing-competence-in-the-work-environment/" TargetMode="External"/><Relationship Id="rId151" Type="http://schemas.openxmlformats.org/officeDocument/2006/relationships/hyperlink" Target="https://southlondoncollege.org/course/level-3-certificate-in-assessing-vocational-achievement/" TargetMode="External"/><Relationship Id="rId172" Type="http://schemas.openxmlformats.org/officeDocument/2006/relationships/hyperlink" Target="https://southlondoncollege.org/course/level-3-diploma-young-peoples-workforce/" TargetMode="External"/><Relationship Id="rId193" Type="http://schemas.openxmlformats.org/officeDocument/2006/relationships/hyperlink" Target="https://southlondoncollege.org/course/ncfe-level-3-diploma-skills-business/" TargetMode="External"/><Relationship Id="rId207" Type="http://schemas.openxmlformats.org/officeDocument/2006/relationships/hyperlink" Target="https://southlondoncollege.org/course/level-4-award-iqa-qualification/" TargetMode="External"/><Relationship Id="rId228" Type="http://schemas.openxmlformats.org/officeDocument/2006/relationships/hyperlink" Target="https://southlondoncollege.org/course/level-4-extended-diploma-health-social-care-adult-care/" TargetMode="External"/><Relationship Id="rId249" Type="http://schemas.openxmlformats.org/officeDocument/2006/relationships/hyperlink" Target="https://southlondoncollege.org/course/athe-level-5-extended-diploma-accounting/" TargetMode="External"/><Relationship Id="rId13" Type="http://schemas.openxmlformats.org/officeDocument/2006/relationships/hyperlink" Target="https://southlondoncollege.org/course/advanced-diploma-in-customer-service-level-3/" TargetMode="External"/><Relationship Id="rId109" Type="http://schemas.openxmlformats.org/officeDocument/2006/relationships/hyperlink" Target="https://southlondoncollege.org/course/diploma-in-water-treatment-level-4/" TargetMode="External"/><Relationship Id="rId260" Type="http://schemas.openxmlformats.org/officeDocument/2006/relationships/hyperlink" Target="https://southlondoncollege.org/course/level-6-certificate-coaching/" TargetMode="External"/><Relationship Id="rId281" Type="http://schemas.openxmlformats.org/officeDocument/2006/relationships/hyperlink" Target="https://southlondoncollege.org/course/level-7-diploma-strategic-educational-leadership-management-headteachers-principals/" TargetMode="External"/><Relationship Id="rId34" Type="http://schemas.openxmlformats.org/officeDocument/2006/relationships/hyperlink" Target="https://southlondoncollege.org/course/diploma-in-agricultural-pesticide-awareness-level-4/" TargetMode="External"/><Relationship Id="rId55" Type="http://schemas.openxmlformats.org/officeDocument/2006/relationships/hyperlink" Target="https://southlondoncollege.org/course/diploma-in-chemical-handling-level-4/" TargetMode="External"/><Relationship Id="rId76" Type="http://schemas.openxmlformats.org/officeDocument/2006/relationships/hyperlink" Target="https://southlondoncollege.org/course/diploma-in-hotel-management-and-opera-pms-software-training-level-3/" TargetMode="External"/><Relationship Id="rId97" Type="http://schemas.openxmlformats.org/officeDocument/2006/relationships/hyperlink" Target="https://southlondoncollege.org/course/diploma-in-pumps-and-motors-level-4/" TargetMode="External"/><Relationship Id="rId120" Type="http://schemas.openxmlformats.org/officeDocument/2006/relationships/hyperlink" Target="https://southlondoncollege.org/course/ncfe-cache-level-2-certificate-in-principles-of-dementia-care/" TargetMode="External"/><Relationship Id="rId141" Type="http://schemas.openxmlformats.org/officeDocument/2006/relationships/hyperlink" Target="https://southlondoncollege.org/course/level-3-award-introduction-mobile-application-development/" TargetMode="External"/><Relationship Id="rId7" Type="http://schemas.openxmlformats.org/officeDocument/2006/relationships/hyperlink" Target="https://southlondoncollege.org/course/advanced-diploma-in-beauty-technician-level-3/" TargetMode="External"/><Relationship Id="rId162" Type="http://schemas.openxmlformats.org/officeDocument/2006/relationships/hyperlink" Target="https://southlondoncollege.org/course/level-3-certificate-in-principles-of-business-and-administration/" TargetMode="External"/><Relationship Id="rId183" Type="http://schemas.openxmlformats.org/officeDocument/2006/relationships/hyperlink" Target="https://southlondoncollege.org/course/ncfe-cache-level-3-diploma-in-counselling-skills/" TargetMode="External"/><Relationship Id="rId218" Type="http://schemas.openxmlformats.org/officeDocument/2006/relationships/hyperlink" Target="https://southlondoncollege.org/course/level-4-diploma-health-social-care/" TargetMode="External"/><Relationship Id="rId239" Type="http://schemas.openxmlformats.org/officeDocument/2006/relationships/hyperlink" Target="https://southlondoncollege.org/course/level-5-diploma-in-health-wellbeing-and-lifestyle-management-coaching/" TargetMode="External"/><Relationship Id="rId250" Type="http://schemas.openxmlformats.org/officeDocument/2006/relationships/hyperlink" Target="https://southlondoncollege.org/course/level-5-extended-diploma-business-management/" TargetMode="External"/><Relationship Id="rId271" Type="http://schemas.openxmlformats.org/officeDocument/2006/relationships/hyperlink" Target="https://southlondoncollege.org/course/athe-level-6-extended-diploma-management-finance/" TargetMode="External"/><Relationship Id="rId292" Type="http://schemas.openxmlformats.org/officeDocument/2006/relationships/hyperlink" Target="https://southlondoncollege.org/course/athe-level-7-extended-diploma-computing-technologies-networking/" TargetMode="External"/><Relationship Id="rId306" Type="http://schemas.openxmlformats.org/officeDocument/2006/relationships/hyperlink" Target="https://southlondoncollege.org/course/a3-pearson-btec-level-7-diploma-in-strategic-management-and-leadership-rqf-2021/" TargetMode="External"/><Relationship Id="rId24" Type="http://schemas.openxmlformats.org/officeDocument/2006/relationships/hyperlink" Target="https://southlondoncollege.org/course/certificate-in-management-at-qls-level-5/" TargetMode="External"/><Relationship Id="rId45" Type="http://schemas.openxmlformats.org/officeDocument/2006/relationships/hyperlink" Target="https://southlondoncollege.org/course/diploma-in-business-ethics-and-law-level-3/" TargetMode="External"/><Relationship Id="rId66" Type="http://schemas.openxmlformats.org/officeDocument/2006/relationships/hyperlink" Target="https://southlondoncollege.org/course/diploma-in-cost-analysis-level-3/" TargetMode="External"/><Relationship Id="rId87" Type="http://schemas.openxmlformats.org/officeDocument/2006/relationships/hyperlink" Target="https://southlondoncollege.org/course/diploma-in-office-administration-and-bookkeeping-level-4/" TargetMode="External"/><Relationship Id="rId110" Type="http://schemas.openxmlformats.org/officeDocument/2006/relationships/hyperlink" Target="https://southlondoncollege.org/course/ncfe-level-1-functional-skills-qualification-in-mathematics/" TargetMode="External"/><Relationship Id="rId131" Type="http://schemas.openxmlformats.org/officeDocument/2006/relationships/hyperlink" Target="https://southlondoncollege.org/course/level-3-award-in-assessing-vocationally-related-achievement/" TargetMode="External"/><Relationship Id="rId152" Type="http://schemas.openxmlformats.org/officeDocument/2006/relationships/hyperlink" Target="https://southlondoncollege.org/course/ncfe-cache-level-3-certificate-in-health-and-social-care/" TargetMode="External"/><Relationship Id="rId173" Type="http://schemas.openxmlformats.org/officeDocument/2006/relationships/hyperlink" Target="https://southlondoncollege.org/course/level-3-diploma-early-years-educator/" TargetMode="External"/><Relationship Id="rId194" Type="http://schemas.openxmlformats.org/officeDocument/2006/relationships/hyperlink" Target="https://southlondoncollege.org/course/athe-level-3-diploma-small-business-social-enterprise-start-up/" TargetMode="External"/><Relationship Id="rId208" Type="http://schemas.openxmlformats.org/officeDocument/2006/relationships/hyperlink" Target="https://southlondoncollege.org/course/level-4-certificate-advanced-personal-trainers/" TargetMode="External"/><Relationship Id="rId229" Type="http://schemas.openxmlformats.org/officeDocument/2006/relationships/hyperlink" Target="https://southlondoncollege.org/course/athe-level-4-extended-diploma-health-social-care/" TargetMode="External"/><Relationship Id="rId240" Type="http://schemas.openxmlformats.org/officeDocument/2006/relationships/hyperlink" Target="https://southlondoncollege.org/course/ncfe-cache-level-5-diploma-in-leadership-and-management-for-adult-care/" TargetMode="External"/><Relationship Id="rId261" Type="http://schemas.openxmlformats.org/officeDocument/2006/relationships/hyperlink" Target="https://southlondoncollege.org/course/athe-level-6-certificate-healthcare-management/" TargetMode="External"/><Relationship Id="rId14" Type="http://schemas.openxmlformats.org/officeDocument/2006/relationships/hyperlink" Target="https://southlondoncollege.org/course/advanced-diploma-in-dog-behaviour-and-training-level-3/" TargetMode="External"/><Relationship Id="rId35" Type="http://schemas.openxmlformats.org/officeDocument/2006/relationships/hyperlink" Target="https://southlondoncollege.org/course/diploma-in-applied-business-analysis-level-3/" TargetMode="External"/><Relationship Id="rId56" Type="http://schemas.openxmlformats.org/officeDocument/2006/relationships/hyperlink" Target="https://southlondoncollege.org/course/diploma-in-coaching-and-mentoring-at-qls-level-7/" TargetMode="External"/><Relationship Id="rId77" Type="http://schemas.openxmlformats.org/officeDocument/2006/relationships/hyperlink" Target="https://southlondoncollege.org/course/diploma-in-human-resource-management-level-4/" TargetMode="External"/><Relationship Id="rId100" Type="http://schemas.openxmlformats.org/officeDocument/2006/relationships/hyperlink" Target="https://southlondoncollege.org/course/diploma-in-supervision-level-3/" TargetMode="External"/><Relationship Id="rId282" Type="http://schemas.openxmlformats.org/officeDocument/2006/relationships/hyperlink" Target="https://southlondoncollege.org/course/level-7-diploma-strategic-educational-leadership-management-senior-managers/" TargetMode="External"/><Relationship Id="rId8" Type="http://schemas.openxmlformats.org/officeDocument/2006/relationships/hyperlink" Target="https://southlondoncollege.org/course/advanced-diploma-in-business-administration-level-3/" TargetMode="External"/><Relationship Id="rId98" Type="http://schemas.openxmlformats.org/officeDocument/2006/relationships/hyperlink" Target="https://southlondoncollege.org/course/diploma-in-strategic-and-administrative-management-at-qls-level-7/" TargetMode="External"/><Relationship Id="rId121" Type="http://schemas.openxmlformats.org/officeDocument/2006/relationships/hyperlink" Target="https://southlondoncollege.org/course/ncfe-cache-level-2-certificate-in-understanding-dignity-and-safeguarding-in-adult-health-and-social-care/" TargetMode="External"/><Relationship Id="rId142" Type="http://schemas.openxmlformats.org/officeDocument/2006/relationships/hyperlink" Target="https://southlondoncollege.org/course/level-3-award-introduction-web-development/" TargetMode="External"/><Relationship Id="rId163" Type="http://schemas.openxmlformats.org/officeDocument/2006/relationships/hyperlink" Target="https://southlondoncollege.org/course/ncfe-cache-level-3-certificate-principles-end-life-care/" TargetMode="External"/><Relationship Id="rId184" Type="http://schemas.openxmlformats.org/officeDocument/2006/relationships/hyperlink" Target="https://southlondoncollege.org/course/level-3-customer-service-qualification/" TargetMode="External"/><Relationship Id="rId219" Type="http://schemas.openxmlformats.org/officeDocument/2006/relationships/hyperlink" Target="https://southlondoncollege.org/course/level-4-personal-trainer-gym-instructer-course/" TargetMode="External"/><Relationship Id="rId230" Type="http://schemas.openxmlformats.org/officeDocument/2006/relationships/hyperlink" Target="https://southlondoncollege.org/course/athe-level-4-extended-diploma-law/" TargetMode="External"/><Relationship Id="rId251" Type="http://schemas.openxmlformats.org/officeDocument/2006/relationships/hyperlink" Target="https://southlondoncollege.org/course/athe-level-5-extended-diploma-business-management/" TargetMode="External"/><Relationship Id="rId25" Type="http://schemas.openxmlformats.org/officeDocument/2006/relationships/hyperlink" Target="https://southlondoncollege.org/course/certificate-in-personal-confidence-and-motivation-level-2/" TargetMode="External"/><Relationship Id="rId46" Type="http://schemas.openxmlformats.org/officeDocument/2006/relationships/hyperlink" Target="https://southlondoncollege.org/course/diploma-in-business-information-management-level-3/" TargetMode="External"/><Relationship Id="rId67" Type="http://schemas.openxmlformats.org/officeDocument/2006/relationships/hyperlink" Target="https://southlondoncollege.org/course/diploma-in-counselling-skills-level-2/" TargetMode="External"/><Relationship Id="rId272" Type="http://schemas.openxmlformats.org/officeDocument/2006/relationships/hyperlink" Target="https://southlondoncollege.org/course/level-6-extended-diploma-management/" TargetMode="External"/><Relationship Id="rId293" Type="http://schemas.openxmlformats.org/officeDocument/2006/relationships/hyperlink" Target="https://southlondoncollege.org/course/athe-level-7-extended-diploma-computing-technologies/" TargetMode="External"/><Relationship Id="rId307" Type="http://schemas.openxmlformats.org/officeDocument/2006/relationships/hyperlink" Target="https://southlondoncollege.org/course/a1-pre-mba-pearson-btec-level-7-extended-diploma-in-strategic-management-and-leadership-rqf-2021/" TargetMode="External"/><Relationship Id="rId88" Type="http://schemas.openxmlformats.org/officeDocument/2006/relationships/hyperlink" Target="https://southlondoncollege.org/course/diploma-in-office-administration-and-hr-level-4/" TargetMode="External"/><Relationship Id="rId111" Type="http://schemas.openxmlformats.org/officeDocument/2006/relationships/hyperlink" Target="https://southlondoncollege.org/course/ncfe-level-1-functional-skills-qualification-english/" TargetMode="External"/><Relationship Id="rId132" Type="http://schemas.openxmlformats.org/officeDocument/2006/relationships/hyperlink" Target="https://southlondoncollege.org/course/ncfe-cache-level-3-award-in-awareness-of-dementia/" TargetMode="External"/><Relationship Id="rId153" Type="http://schemas.openxmlformats.org/officeDocument/2006/relationships/hyperlink" Target="https://southlondoncollege.org/course/level-3-certificate-information-digital-technologies/" TargetMode="External"/><Relationship Id="rId174" Type="http://schemas.openxmlformats.org/officeDocument/2006/relationships/hyperlink" Target="https://southlondoncollege.org/course/ncfe-cache-level-3-diploma-working-early-years-sector/" TargetMode="External"/><Relationship Id="rId195" Type="http://schemas.openxmlformats.org/officeDocument/2006/relationships/hyperlink" Target="https://southlondoncollege.org/course/level-3-diploma-in-specialist-support-for-teaching-and-learning-in-schools/" TargetMode="External"/><Relationship Id="rId209" Type="http://schemas.openxmlformats.org/officeDocument/2006/relationships/hyperlink" Target="https://southlondoncollege.org/course/level-4-teaching-assistant-course/" TargetMode="External"/><Relationship Id="rId220" Type="http://schemas.openxmlformats.org/officeDocument/2006/relationships/hyperlink" Target="https://southlondoncollege.org/course/level-4-diploma-master-personal-training/" TargetMode="External"/><Relationship Id="rId241" Type="http://schemas.openxmlformats.org/officeDocument/2006/relationships/hyperlink" Target="https://southlondoncollege.org/course/ncfe-cache-level-5-diploma-leadership-management-residential-childcare-england/" TargetMode="External"/><Relationship Id="rId15" Type="http://schemas.openxmlformats.org/officeDocument/2006/relationships/hyperlink" Target="https://southlondoncollege.org/course/advanced-diploma-in-dog-grooming-level-3/" TargetMode="External"/><Relationship Id="rId36" Type="http://schemas.openxmlformats.org/officeDocument/2006/relationships/hyperlink" Target="https://southlondoncollege.org/course/diploma-in-banking-level-3/" TargetMode="External"/><Relationship Id="rId57" Type="http://schemas.openxmlformats.org/officeDocument/2006/relationships/hyperlink" Target="https://southlondoncollege.org/course/diploma-in-chlorination-level-4/" TargetMode="External"/><Relationship Id="rId262" Type="http://schemas.openxmlformats.org/officeDocument/2006/relationships/hyperlink" Target="https://southlondoncollege.org/course/level-6-certificate-mentoring/" TargetMode="External"/><Relationship Id="rId283" Type="http://schemas.openxmlformats.org/officeDocument/2006/relationships/hyperlink" Target="https://southlondoncollege.org/course/athe-level-7-diploma-strategic-management-finance/" TargetMode="External"/><Relationship Id="rId78" Type="http://schemas.openxmlformats.org/officeDocument/2006/relationships/hyperlink" Target="https://southlondoncollege.org/course/diploma-in-hydraulic-principles-level-4/" TargetMode="External"/><Relationship Id="rId99" Type="http://schemas.openxmlformats.org/officeDocument/2006/relationships/hyperlink" Target="https://southlondoncollege.org/course/diploma-in-strategic-marketing-level-3/" TargetMode="External"/><Relationship Id="rId101" Type="http://schemas.openxmlformats.org/officeDocument/2006/relationships/hyperlink" Target="https://southlondoncollege.org/course/diploma-in-systems-analysis-and-design-level-4/" TargetMode="External"/><Relationship Id="rId122" Type="http://schemas.openxmlformats.org/officeDocument/2006/relationships/hyperlink" Target="https://southlondoncollege.org/course/ncfe-cache-level-2-certificate-in-understanding-mental-health-first-aid-and-mental-health-advocacy-in-the-workplace/" TargetMode="External"/><Relationship Id="rId143" Type="http://schemas.openxmlformats.org/officeDocument/2006/relationships/hyperlink" Target="https://southlondoncollege.org/course/level-3-award-in-nutrition-for-physical-activity/" TargetMode="External"/><Relationship Id="rId164" Type="http://schemas.openxmlformats.org/officeDocument/2006/relationships/hyperlink" Target="https://southlondoncollege.org/course/ncfe-cache-level-3-certificate-understanding-autism/" TargetMode="External"/><Relationship Id="rId185" Type="http://schemas.openxmlformats.org/officeDocument/2006/relationships/hyperlink" Target="https://southlondoncollege.org/course/athe-level-3-diploma-health-social-care/" TargetMode="External"/><Relationship Id="rId9" Type="http://schemas.openxmlformats.org/officeDocument/2006/relationships/hyperlink" Target="https://southlondoncollege.org/course/advanced-diploma-in-business-management-at-qls-level-4-2/" TargetMode="External"/><Relationship Id="rId210" Type="http://schemas.openxmlformats.org/officeDocument/2006/relationships/hyperlink" Target="https://southlondoncollege.org/course/level-4-education-and-training/" TargetMode="External"/><Relationship Id="rId26" Type="http://schemas.openxmlformats.org/officeDocument/2006/relationships/hyperlink" Target="https://southlondoncollege.org/course/certificate-in-strategic-management-and-leadership-practices-at-qls-level-7/" TargetMode="External"/><Relationship Id="rId231" Type="http://schemas.openxmlformats.org/officeDocument/2006/relationships/hyperlink" Target="https://southlondoncollege.org/course/level-4-nvq-diploma-in-business-administration/" TargetMode="External"/><Relationship Id="rId252" Type="http://schemas.openxmlformats.org/officeDocument/2006/relationships/hyperlink" Target="https://southlondoncollege.org/course/athe-level-5-extended-diploma-computing-data-technologist/" TargetMode="External"/><Relationship Id="rId273" Type="http://schemas.openxmlformats.org/officeDocument/2006/relationships/hyperlink" Target="https://southlondoncollege.org/course/athe-level-6-extended-diploma-management-managing-people/" TargetMode="External"/><Relationship Id="rId294" Type="http://schemas.openxmlformats.org/officeDocument/2006/relationships/hyperlink" Target="https://southlondoncollege.org/course/athe-level-7-extended-diploma-computing-technologies-software-engineering/" TargetMode="External"/><Relationship Id="rId308" Type="http://schemas.openxmlformats.org/officeDocument/2006/relationships/hyperlink" Target="https://southlondoncollege.org/course/athe-level-7-extended-diploma-in-strategic-management-course/" TargetMode="External"/><Relationship Id="rId47" Type="http://schemas.openxmlformats.org/officeDocument/2006/relationships/hyperlink" Target="https://southlondoncollege.org/course/diploma-in-business-information-systems-level-3/" TargetMode="External"/><Relationship Id="rId68" Type="http://schemas.openxmlformats.org/officeDocument/2006/relationships/hyperlink" Target="https://southlondoncollege.org/course/diploma-in-customer-service-and-opera-pms-software-training-level-3/" TargetMode="External"/><Relationship Id="rId89" Type="http://schemas.openxmlformats.org/officeDocument/2006/relationships/hyperlink" Target="https://southlondoncollege.org/course/diploma-in-office-administration-and-management-level-4/" TargetMode="External"/><Relationship Id="rId112" Type="http://schemas.openxmlformats.org/officeDocument/2006/relationships/hyperlink" Target="https://southlondoncollege.org/course/ncfe-level-1-digital-functional-skill/" TargetMode="External"/><Relationship Id="rId133" Type="http://schemas.openxmlformats.org/officeDocument/2006/relationships/hyperlink" Target="https://southlondoncollege.org/course/ncfe-cache-level-3-award-in-childcare-and-education/" TargetMode="External"/><Relationship Id="rId154" Type="http://schemas.openxmlformats.org/officeDocument/2006/relationships/hyperlink" Target="https://southlondoncollege.org/course/level-3-leisure-management-course/" TargetMode="External"/><Relationship Id="rId175" Type="http://schemas.openxmlformats.org/officeDocument/2006/relationships/hyperlink" Target="https://southlondoncollege.org/course/athe-level-3-diploma-accounting/" TargetMode="External"/><Relationship Id="rId196" Type="http://schemas.openxmlformats.org/officeDocument/2006/relationships/hyperlink" Target="https://southlondoncollege.org/course/level-3-diploma-in-sports-development/" TargetMode="External"/><Relationship Id="rId200" Type="http://schemas.openxmlformats.org/officeDocument/2006/relationships/hyperlink" Target="https://southlondoncollege.org/course/level-3-diploma-in-fitness-instructing-and-personal-training/" TargetMode="External"/><Relationship Id="rId16" Type="http://schemas.openxmlformats.org/officeDocument/2006/relationships/hyperlink" Target="https://southlondoncollege.org/course/advanced-diploma-in-hair-styling-level-3/" TargetMode="External"/><Relationship Id="rId221" Type="http://schemas.openxmlformats.org/officeDocument/2006/relationships/hyperlink" Target="https://southlondoncollege.org/course/athe-level-4-extended-diploma-accounting/" TargetMode="External"/><Relationship Id="rId242" Type="http://schemas.openxmlformats.org/officeDocument/2006/relationships/hyperlink" Target="https://southlondoncollege.org/course/ncfe-cache-level-5-diploma-leadership-health-social-care-children-young-peoples-services/" TargetMode="External"/><Relationship Id="rId263" Type="http://schemas.openxmlformats.org/officeDocument/2006/relationships/hyperlink" Target="https://southlondoncollege.org/course/athe-level-6-certificate-project-management/" TargetMode="External"/><Relationship Id="rId284" Type="http://schemas.openxmlformats.org/officeDocument/2006/relationships/hyperlink" Target="https://southlondoncollege.org/course/athe-level-7-diploma-strategic-management-international/" TargetMode="External"/><Relationship Id="rId37" Type="http://schemas.openxmlformats.org/officeDocument/2006/relationships/hyperlink" Target="https://southlondoncollege.org/course/diploma-in-basic-chemistry-level-3/" TargetMode="External"/><Relationship Id="rId58" Type="http://schemas.openxmlformats.org/officeDocument/2006/relationships/hyperlink" Target="https://southlondoncollege.org/course/diploma-in-collection-construction-level-4/" TargetMode="External"/><Relationship Id="rId79" Type="http://schemas.openxmlformats.org/officeDocument/2006/relationships/hyperlink" Target="https://southlondoncollege.org/course/diploma-in-innovation-and-small-business-management-level-3/" TargetMode="External"/><Relationship Id="rId102" Type="http://schemas.openxmlformats.org/officeDocument/2006/relationships/hyperlink" Target="https://southlondoncollege.org/course/diploma-in-travel-and-tourism-management-at-qls-level-4-2/" TargetMode="External"/><Relationship Id="rId123" Type="http://schemas.openxmlformats.org/officeDocument/2006/relationships/hyperlink" Target="https://southlondoncollege.org/course/ncfe-cache-level-2-certificate-in-understanding-nutrition-and-health/" TargetMode="External"/><Relationship Id="rId144" Type="http://schemas.openxmlformats.org/officeDocument/2006/relationships/hyperlink" Target="https://southlondoncollege.org/course/ncfe-cache-level-3-award-preparing-work-home-based-childcare/" TargetMode="External"/><Relationship Id="rId90" Type="http://schemas.openxmlformats.org/officeDocument/2006/relationships/hyperlink" Target="https://southlondoncollege.org/course/diploma-in-office-administration-and-pa-level-4/" TargetMode="External"/><Relationship Id="rId165" Type="http://schemas.openxmlformats.org/officeDocument/2006/relationships/hyperlink" Target="https://southlondoncollege.org/course/ncfe-cache-level-3-certificate-in-understanding-mental-health/" TargetMode="External"/><Relationship Id="rId186" Type="http://schemas.openxmlformats.org/officeDocument/2006/relationships/hyperlink" Target="https://southlondoncollege.org/course/ncfe-cache-level-3-diploma-healthcare-support/" TargetMode="External"/><Relationship Id="rId211" Type="http://schemas.openxmlformats.org/officeDocument/2006/relationships/hyperlink" Target="https://southlondoncollege.org/course/level-4-quality-assurance-certificate/" TargetMode="External"/><Relationship Id="rId232" Type="http://schemas.openxmlformats.org/officeDocument/2006/relationships/hyperlink" Target="https://southlondoncollege.org/course/level-4-nvq-diploma-in-customer-service/" TargetMode="External"/><Relationship Id="rId253" Type="http://schemas.openxmlformats.org/officeDocument/2006/relationships/hyperlink" Target="https://southlondoncollege.org/course/athe-level-5-extended-diploma-computing-netdevops-engineer/" TargetMode="External"/><Relationship Id="rId274" Type="http://schemas.openxmlformats.org/officeDocument/2006/relationships/hyperlink" Target="https://southlondoncollege.org/course/athe-level-6-extended-diploma-management-operations-management/" TargetMode="External"/><Relationship Id="rId295" Type="http://schemas.openxmlformats.org/officeDocument/2006/relationships/hyperlink" Target="https://southlondoncollege.org/course/athe-level-7-extended-diploma-strategic-educational-leadership-management/" TargetMode="External"/><Relationship Id="rId309" Type="http://schemas.openxmlformats.org/officeDocument/2006/relationships/printerSettings" Target="../printerSettings/printerSettings1.bin"/><Relationship Id="rId27" Type="http://schemas.openxmlformats.org/officeDocument/2006/relationships/hyperlink" Target="https://southlondoncollege.org/course/certificate-in-strategic-management-at-qls-level-7/" TargetMode="External"/><Relationship Id="rId48" Type="http://schemas.openxmlformats.org/officeDocument/2006/relationships/hyperlink" Target="https://southlondoncollege.org/course/diploma-in-business-law-level-3/" TargetMode="External"/><Relationship Id="rId69" Type="http://schemas.openxmlformats.org/officeDocument/2006/relationships/hyperlink" Target="https://southlondoncollege.org/course/diploma-in-customer-service-level-4/" TargetMode="External"/><Relationship Id="rId113" Type="http://schemas.openxmlformats.org/officeDocument/2006/relationships/hyperlink" Target="https://southlondoncollege.org/course/level-2-adult-social-care-and-mental-health-awareness-bundle/" TargetMode="External"/><Relationship Id="rId134" Type="http://schemas.openxmlformats.org/officeDocument/2006/relationships/hyperlink" Target="https://southlondoncollege.org/course/ncfe-cache-level-3-award-in-counselling-skills-and-theory/" TargetMode="External"/><Relationship Id="rId80" Type="http://schemas.openxmlformats.org/officeDocument/2006/relationships/hyperlink" Target="https://southlondoncollege.org/course/diploma-in-investment-and-finance-level-3/" TargetMode="External"/><Relationship Id="rId155" Type="http://schemas.openxmlformats.org/officeDocument/2006/relationships/hyperlink" Target="https://southlondoncollege.org/course/level-3-certificate-in-personal-training/" TargetMode="External"/><Relationship Id="rId176" Type="http://schemas.openxmlformats.org/officeDocument/2006/relationships/hyperlink" Target="https://southlondoncollege.org/course/ncfe-cache-level-3-diploma-in-adult-care-2/" TargetMode="External"/><Relationship Id="rId197" Type="http://schemas.openxmlformats.org/officeDocument/2006/relationships/hyperlink" Target="https://southlondoncollege.org/course/level-3-diploma-in-sports-massage-therapy/" TargetMode="External"/><Relationship Id="rId201" Type="http://schemas.openxmlformats.org/officeDocument/2006/relationships/hyperlink" Target="https://southlondoncollege.org/course/level-3-personal-trainer-course/" TargetMode="External"/><Relationship Id="rId222" Type="http://schemas.openxmlformats.org/officeDocument/2006/relationships/hyperlink" Target="https://southlondoncollege.org/course/level-4-extended-diploma-business-management/" TargetMode="External"/><Relationship Id="rId243" Type="http://schemas.openxmlformats.org/officeDocument/2006/relationships/hyperlink" Target="https://southlondoncollege.org/course/level-5-diploma-in-leadership-for-health-and-social-care/" TargetMode="External"/><Relationship Id="rId264" Type="http://schemas.openxmlformats.org/officeDocument/2006/relationships/hyperlink" Target="https://southlondoncollege.org/course/athe-level-6-diploma-coaching-mentoring-people-business/" TargetMode="External"/><Relationship Id="rId285" Type="http://schemas.openxmlformats.org/officeDocument/2006/relationships/hyperlink" Target="https://southlondoncollege.org/course/athe-level-7-diploma-strategic-management-managing-people/" TargetMode="External"/><Relationship Id="rId17" Type="http://schemas.openxmlformats.org/officeDocument/2006/relationships/hyperlink" Target="https://southlondoncollege.org/course/advanced-diploma-in-interior-designing-level-3/" TargetMode="External"/><Relationship Id="rId38" Type="http://schemas.openxmlformats.org/officeDocument/2006/relationships/hyperlink" Target="https://southlondoncollege.org/course/diploma-in-basic-concrete-level-3/" TargetMode="External"/><Relationship Id="rId59" Type="http://schemas.openxmlformats.org/officeDocument/2006/relationships/hyperlink" Target="https://southlondoncollege.org/course/diploma-in-collection-operation-and-maintenance-level-4/" TargetMode="External"/><Relationship Id="rId103" Type="http://schemas.openxmlformats.org/officeDocument/2006/relationships/hyperlink" Target="https://southlondoncollege.org/course/diploma-in-valve-operation-and-system-design-level-4/" TargetMode="External"/><Relationship Id="rId124" Type="http://schemas.openxmlformats.org/officeDocument/2006/relationships/hyperlink" Target="https://southlondoncollege.org/course/ncfe-cache-level-2-certificate-in-understanding-safeguarding-and-prevent/" TargetMode="External"/><Relationship Id="rId70" Type="http://schemas.openxmlformats.org/officeDocument/2006/relationships/hyperlink" Target="https://southlondoncollege.org/course/diploma-in-disinfection-basics-level-3/" TargetMode="External"/><Relationship Id="rId91" Type="http://schemas.openxmlformats.org/officeDocument/2006/relationships/hyperlink" Target="https://southlondoncollege.org/course/diploma-in-office-administration-and-reception-level-4/" TargetMode="External"/><Relationship Id="rId145" Type="http://schemas.openxmlformats.org/officeDocument/2006/relationships/hyperlink" Target="https://southlondoncollege.org/course/ncfe-cache-level-3-award-supporting-children-young-peoples-speech-language-communication/" TargetMode="External"/><Relationship Id="rId166" Type="http://schemas.openxmlformats.org/officeDocument/2006/relationships/hyperlink" Target="https://southlondoncollege.org/course/ncfe-cache-level-3-certificate-understanding-care-management-diabetes/" TargetMode="External"/><Relationship Id="rId187" Type="http://schemas.openxmlformats.org/officeDocument/2006/relationships/hyperlink" Target="https://southlondoncollege.org/course/athe-level-3-diploma-information-digital-technologies/" TargetMode="External"/><Relationship Id="rId1" Type="http://schemas.openxmlformats.org/officeDocument/2006/relationships/hyperlink" Target="https://southlondoncollege.org/course/advanced-certificate-in-management-and-leadership-at-qls-level-3-2/" TargetMode="External"/><Relationship Id="rId212" Type="http://schemas.openxmlformats.org/officeDocument/2006/relationships/hyperlink" Target="https://southlondoncollege.org/course/athe-level-4-diploma-accounting/" TargetMode="External"/><Relationship Id="rId233" Type="http://schemas.openxmlformats.org/officeDocument/2006/relationships/hyperlink" Target="https://southlondoncollege.org/course/tefl-level-5-course/" TargetMode="External"/><Relationship Id="rId254" Type="http://schemas.openxmlformats.org/officeDocument/2006/relationships/hyperlink" Target="https://southlondoncollege.org/course/athe-level-5-extended-diploma-computing/" TargetMode="External"/><Relationship Id="rId28" Type="http://schemas.openxmlformats.org/officeDocument/2006/relationships/hyperlink" Target="https://southlondoncollege.org/course/diploma-in-administration-and-leadership-practices-at-qls-level-3-2/" TargetMode="External"/><Relationship Id="rId49" Type="http://schemas.openxmlformats.org/officeDocument/2006/relationships/hyperlink" Target="https://southlondoncollege.org/course/diploma-in-business-management-level-3/" TargetMode="External"/><Relationship Id="rId114" Type="http://schemas.openxmlformats.org/officeDocument/2006/relationships/hyperlink" Target="https://southlondoncollege.org/course/ncfe-cache-level-2-award-in-food-safety-in-health-and-social-care-and-early-years-and-childcare-settings/" TargetMode="External"/><Relationship Id="rId275" Type="http://schemas.openxmlformats.org/officeDocument/2006/relationships/hyperlink" Target="https://southlondoncollege.org/course/athe-level-6-extended-diploma-management/" TargetMode="External"/><Relationship Id="rId296" Type="http://schemas.openxmlformats.org/officeDocument/2006/relationships/hyperlink" Target="https://southlondoncollege.org/course/athe-level-7-extended-diploma-strategic-management-finance/" TargetMode="External"/><Relationship Id="rId300" Type="http://schemas.openxmlformats.org/officeDocument/2006/relationships/hyperlink" Target="https://southlondoncollege.org/course/pearson-btec-level-3-aet/" TargetMode="External"/><Relationship Id="rId60" Type="http://schemas.openxmlformats.org/officeDocument/2006/relationships/hyperlink" Target="https://southlondoncollege.org/course/diploma-in-collection-system-operator-level-4/" TargetMode="External"/><Relationship Id="rId81" Type="http://schemas.openxmlformats.org/officeDocument/2006/relationships/hyperlink" Target="https://southlondoncollege.org/course/diploma-in-leadership-and-management-level-3/" TargetMode="External"/><Relationship Id="rId135" Type="http://schemas.openxmlformats.org/officeDocument/2006/relationships/hyperlink" Target="https://southlondoncollege.org/course/ncfe-cache-level-3-award-in-health-and-social-care-3/" TargetMode="External"/><Relationship Id="rId156" Type="http://schemas.openxmlformats.org/officeDocument/2006/relationships/hyperlink" Target="https://southlondoncollege.org/course/ncfe-cache-level-3-certificate-in-preparing-to-work-in-adult-social-care/" TargetMode="External"/><Relationship Id="rId177" Type="http://schemas.openxmlformats.org/officeDocument/2006/relationships/hyperlink" Target="https://southlondoncollege.org/course/level-3-diploma-adult-care/" TargetMode="External"/><Relationship Id="rId198" Type="http://schemas.openxmlformats.org/officeDocument/2006/relationships/hyperlink" Target="https://southlondoncollege.org/course/level-3-personal-trainer-gym-instructor/" TargetMode="External"/><Relationship Id="rId202" Type="http://schemas.openxmlformats.org/officeDocument/2006/relationships/hyperlink" Target="https://southlondoncollege.org/course/level-3-extended-diploma-for-personal-training-practitioners/" TargetMode="External"/><Relationship Id="rId223" Type="http://schemas.openxmlformats.org/officeDocument/2006/relationships/hyperlink" Target="https://southlondoncollege.org/course/athe-level-4-extended-diploma-business-management/" TargetMode="External"/><Relationship Id="rId244" Type="http://schemas.openxmlformats.org/officeDocument/2006/relationships/hyperlink" Target="https://southlondoncollege.org/course/level-5-diploma-in-leadership-and-management-for-adult-care/" TargetMode="External"/><Relationship Id="rId18" Type="http://schemas.openxmlformats.org/officeDocument/2006/relationships/hyperlink" Target="https://southlondoncollege.org/course/advanced-diploma-in-public-relations-level-3/" TargetMode="External"/><Relationship Id="rId39" Type="http://schemas.openxmlformats.org/officeDocument/2006/relationships/hyperlink" Target="https://southlondoncollege.org/course/diploma-in-business-and-administration-practices-at-qls-level-5-2/" TargetMode="External"/><Relationship Id="rId265" Type="http://schemas.openxmlformats.org/officeDocument/2006/relationships/hyperlink" Target="https://southlondoncollege.org/course/athe-level-6-diploma-coaching-mentoring-people-education-training/" TargetMode="External"/><Relationship Id="rId286" Type="http://schemas.openxmlformats.org/officeDocument/2006/relationships/hyperlink" Target="https://southlondoncollege.org/course/athe-level-7-diploma-strategic-management-marketing/" TargetMode="External"/><Relationship Id="rId50" Type="http://schemas.openxmlformats.org/officeDocument/2006/relationships/hyperlink" Target="https://southlondoncollege.org/course/diploma-in-business-management-level-4/" TargetMode="External"/><Relationship Id="rId104" Type="http://schemas.openxmlformats.org/officeDocument/2006/relationships/hyperlink" Target="https://southlondoncollege.org/course/diploma-in-valves-and-fittings-level-4/" TargetMode="External"/><Relationship Id="rId125" Type="http://schemas.openxmlformats.org/officeDocument/2006/relationships/hyperlink" Target="https://southlondoncollege.org/course/ncfe-cache-level-2-certificate-introducing-caring-for-children-and-young-people/" TargetMode="External"/><Relationship Id="rId146" Type="http://schemas.openxmlformats.org/officeDocument/2006/relationships/hyperlink" Target="https://southlondoncollege.org/course/ncfe-cache-level-3-award-in-supporting-individuals-with-learning-disabilities/" TargetMode="External"/><Relationship Id="rId167" Type="http://schemas.openxmlformats.org/officeDocument/2006/relationships/hyperlink" Target="https://southlondoncollege.org/course/ncfe-cache-level-3-certificate-understanding-principles-dementia-care/" TargetMode="External"/><Relationship Id="rId188" Type="http://schemas.openxmlformats.org/officeDocument/2006/relationships/hyperlink" Target="https://southlondoncollege.org/course/athe-level-3-diploma-law/" TargetMode="External"/><Relationship Id="rId71" Type="http://schemas.openxmlformats.org/officeDocument/2006/relationships/hyperlink" Target="https://southlondoncollege.org/course/diploma-in-essential-cat-and-kitten-care-level-3/" TargetMode="External"/><Relationship Id="rId92" Type="http://schemas.openxmlformats.org/officeDocument/2006/relationships/hyperlink" Target="https://southlondoncollege.org/course/diploma-in-office-administration-level-4/" TargetMode="External"/><Relationship Id="rId213" Type="http://schemas.openxmlformats.org/officeDocument/2006/relationships/hyperlink" Target="https://southlondoncollege.org/course/ncfe-cache-level-4-diploma-in-adult-care/" TargetMode="External"/><Relationship Id="rId234" Type="http://schemas.openxmlformats.org/officeDocument/2006/relationships/hyperlink" Target="https://southlondoncollege.org/course/level-5-combined-extended-diploma-business-management/" TargetMode="External"/><Relationship Id="rId2" Type="http://schemas.openxmlformats.org/officeDocument/2006/relationships/hyperlink" Target="https://southlondoncollege.org/course/advanced-diploma-in-animal-care-and-business-level-3/" TargetMode="External"/><Relationship Id="rId29" Type="http://schemas.openxmlformats.org/officeDocument/2006/relationships/hyperlink" Target="https://southlondoncollege.org/course/diploma-in-administration-and-leadership-practices-at-qls-level-4-2/" TargetMode="External"/><Relationship Id="rId255" Type="http://schemas.openxmlformats.org/officeDocument/2006/relationships/hyperlink" Target="https://southlondoncollege.org/course/athe-level-5-extended-diploma-computing-software-engineer/" TargetMode="External"/><Relationship Id="rId276" Type="http://schemas.openxmlformats.org/officeDocument/2006/relationships/hyperlink" Target="https://southlondoncollege.org/course/athe-level-6-extended-diploma-management-sales-marketing/" TargetMode="External"/><Relationship Id="rId297" Type="http://schemas.openxmlformats.org/officeDocument/2006/relationships/hyperlink" Target="https://southlondoncollege.org/course/athe-level-7-extended-diploma-strategic-management-international/" TargetMode="External"/><Relationship Id="rId40" Type="http://schemas.openxmlformats.org/officeDocument/2006/relationships/hyperlink" Target="https://southlondoncollege.org/course/diploma-in-business-and-administrative-management-at-qls-level-4-2/" TargetMode="External"/><Relationship Id="rId115" Type="http://schemas.openxmlformats.org/officeDocument/2006/relationships/hyperlink" Target="https://southlondoncollege.org/course/ncfe-cache-level-2-award-in-babysitting/" TargetMode="External"/><Relationship Id="rId136" Type="http://schemas.openxmlformats.org/officeDocument/2006/relationships/hyperlink" Target="https://southlondoncollege.org/course/level-3-award-introduction-computer-programming/" TargetMode="External"/><Relationship Id="rId157" Type="http://schemas.openxmlformats.org/officeDocument/2006/relationships/hyperlink" Target="https://southlondoncollege.org/course/level-3-certificate-in-preparing-to-work-in-adult-social-care/" TargetMode="External"/><Relationship Id="rId178" Type="http://schemas.openxmlformats.org/officeDocument/2006/relationships/hyperlink" Target="https://southlondoncollege.org/course/level-3-diploma-applied-statistics/" TargetMode="External"/><Relationship Id="rId301" Type="http://schemas.openxmlformats.org/officeDocument/2006/relationships/hyperlink" Target="https://southlondoncollege.org/course/pearson-btec-level-4-certificate-in-education-and-training-rqf/" TargetMode="External"/><Relationship Id="rId61" Type="http://schemas.openxmlformats.org/officeDocument/2006/relationships/hyperlink" Target="https://southlondoncollege.org/course/diploma-in-computing-information-technology-at-qls-level-4-2/" TargetMode="External"/><Relationship Id="rId82" Type="http://schemas.openxmlformats.org/officeDocument/2006/relationships/hyperlink" Target="https://southlondoncollege.org/course/diploma-in-macroeconomics-level-3/" TargetMode="External"/><Relationship Id="rId199" Type="http://schemas.openxmlformats.org/officeDocument/2006/relationships/hyperlink" Target="https://southlondoncollege.org/course/level-3-diploma-practitioner-in-personal-training/" TargetMode="External"/><Relationship Id="rId203" Type="http://schemas.openxmlformats.org/officeDocument/2006/relationships/hyperlink" Target="https://southlondoncollege.org/course/athe-level-3-extended-diploma-business-management/" TargetMode="External"/><Relationship Id="rId19" Type="http://schemas.openxmlformats.org/officeDocument/2006/relationships/hyperlink" Target="https://southlondoncollege.org/course/advanced-diploma-in-veterinary-support-assistant-level-3/" TargetMode="External"/><Relationship Id="rId224" Type="http://schemas.openxmlformats.org/officeDocument/2006/relationships/hyperlink" Target="https://southlondoncollege.org/course/athe-level-4-extended-diploma-computing-cyber-security-technologist/" TargetMode="External"/><Relationship Id="rId245" Type="http://schemas.openxmlformats.org/officeDocument/2006/relationships/hyperlink" Target="https://southlondoncollege.org/course/level-5-diploma-in-management-and-leadership/" TargetMode="External"/><Relationship Id="rId266" Type="http://schemas.openxmlformats.org/officeDocument/2006/relationships/hyperlink" Target="https://southlondoncollege.org/course/athe-level-6-diploma-healthcare-management/" TargetMode="External"/><Relationship Id="rId287" Type="http://schemas.openxmlformats.org/officeDocument/2006/relationships/hyperlink" Target="https://southlondoncollege.org/course/athe-level-7-diploma-strategic-management/" TargetMode="External"/><Relationship Id="rId30" Type="http://schemas.openxmlformats.org/officeDocument/2006/relationships/hyperlink" Target="https://southlondoncollege.org/course/diploma-in-administration-and-leadership-practices-at-qls-level-5-2/" TargetMode="External"/><Relationship Id="rId105" Type="http://schemas.openxmlformats.org/officeDocument/2006/relationships/hyperlink" Target="https://southlondoncollege.org/course/diploma-in-water-chemistry-level-4/" TargetMode="External"/><Relationship Id="rId126" Type="http://schemas.openxmlformats.org/officeDocument/2006/relationships/hyperlink" Target="https://southlondoncollege.org/course/ncfe-level-2-functional-skills-qualification-english/" TargetMode="External"/><Relationship Id="rId147" Type="http://schemas.openxmlformats.org/officeDocument/2006/relationships/hyperlink" Target="https://southlondoncollege.org/course/level-3-award-in-supporting-teaching-and-learning-in-schools/" TargetMode="External"/><Relationship Id="rId168" Type="http://schemas.openxmlformats.org/officeDocument/2006/relationships/hyperlink" Target="https://southlondoncollege.org/course/ncfe-level-3-diploma-business-administrators/" TargetMode="External"/><Relationship Id="rId51" Type="http://schemas.openxmlformats.org/officeDocument/2006/relationships/hyperlink" Target="https://southlondoncollege.org/course/diploma-in-business-management-level-5/" TargetMode="External"/><Relationship Id="rId72" Type="http://schemas.openxmlformats.org/officeDocument/2006/relationships/hyperlink" Target="https://southlondoncollege.org/course/diploma-in-excavation-trenching-level-4/" TargetMode="External"/><Relationship Id="rId93" Type="http://schemas.openxmlformats.org/officeDocument/2006/relationships/hyperlink" Target="https://southlondoncollege.org/course/diploma-in-pathogen-studies-level-4/" TargetMode="External"/><Relationship Id="rId189" Type="http://schemas.openxmlformats.org/officeDocument/2006/relationships/hyperlink" Target="https://southlondoncollege.org/course/level-3-diploma-leisure-management/" TargetMode="External"/><Relationship Id="rId3" Type="http://schemas.openxmlformats.org/officeDocument/2006/relationships/hyperlink" Target="https://southlondoncollege.org/course/advanced-diploma-in-animal-care-level-3/" TargetMode="External"/><Relationship Id="rId214" Type="http://schemas.openxmlformats.org/officeDocument/2006/relationships/hyperlink" Target="https://southlondoncollege.org/course/level-4-diploma-in-adult-care/" TargetMode="External"/><Relationship Id="rId235" Type="http://schemas.openxmlformats.org/officeDocument/2006/relationships/hyperlink" Target="https://southlondoncollege.org/course/level-5-diploma-accounting/" TargetMode="External"/><Relationship Id="rId256" Type="http://schemas.openxmlformats.org/officeDocument/2006/relationships/hyperlink" Target="https://southlondoncollege.org/course/level-5-extended-diploma-health-social-care-adult-care-leadership/" TargetMode="External"/><Relationship Id="rId277" Type="http://schemas.openxmlformats.org/officeDocument/2006/relationships/hyperlink" Target="https://southlondoncollege.org/course/athe-level-7-certificate-healthcare-management/" TargetMode="External"/><Relationship Id="rId298" Type="http://schemas.openxmlformats.org/officeDocument/2006/relationships/hyperlink" Target="https://southlondoncollege.org/course/athe-level-7-extended-diploma-strategic-management-managing-people/" TargetMode="External"/><Relationship Id="rId116" Type="http://schemas.openxmlformats.org/officeDocument/2006/relationships/hyperlink" Target="https://southlondoncollege.org/course/ncfe-cache-level-2-award-in-awareness-of-end-of-life-care-2/" TargetMode="External"/><Relationship Id="rId137" Type="http://schemas.openxmlformats.org/officeDocument/2006/relationships/hyperlink" Target="https://southlondoncollege.org/course/level-3-award-introduction-computing-mathematics/" TargetMode="External"/><Relationship Id="rId158" Type="http://schemas.openxmlformats.org/officeDocument/2006/relationships/hyperlink" Target="https://southlondoncollege.org/course/level-3-certificate-sports-development/" TargetMode="External"/><Relationship Id="rId302" Type="http://schemas.openxmlformats.org/officeDocument/2006/relationships/hyperlink" Target="https://southlondoncollege.org/course/pearson-btec-level-4-certificate-in-management-and-leadership/" TargetMode="External"/><Relationship Id="rId20" Type="http://schemas.openxmlformats.org/officeDocument/2006/relationships/hyperlink" Target="https://southlondoncollege.org/course/advanced-diploma-in-wedding-planning-level-3/" TargetMode="External"/><Relationship Id="rId41" Type="http://schemas.openxmlformats.org/officeDocument/2006/relationships/hyperlink" Target="https://southlondoncollege.org/course/diploma-in-business-and-management-level-3/" TargetMode="External"/><Relationship Id="rId62" Type="http://schemas.openxmlformats.org/officeDocument/2006/relationships/hyperlink" Target="https://southlondoncollege.org/course/diploma-in-corporate-and-management-at-qls-level-4-2/" TargetMode="External"/><Relationship Id="rId83" Type="http://schemas.openxmlformats.org/officeDocument/2006/relationships/hyperlink" Target="https://southlondoncollege.org/course/diploma-in-management-and-leadership-at-qls-level-3-2/" TargetMode="External"/><Relationship Id="rId179" Type="http://schemas.openxmlformats.org/officeDocument/2006/relationships/hyperlink" Target="https://southlondoncollege.org/course/athe-level-3-diploma-business-60/" TargetMode="External"/><Relationship Id="rId190" Type="http://schemas.openxmlformats.org/officeDocument/2006/relationships/hyperlink" Target="https://southlondoncollege.org/course/ncfe-level-3-diploma-management-skills-knowledge/" TargetMode="External"/><Relationship Id="rId204" Type="http://schemas.openxmlformats.org/officeDocument/2006/relationships/hyperlink" Target="https://southlondoncollege.org/course/ncfe-cache-level-3-extended-diploma-in-health-and-social-care/" TargetMode="External"/><Relationship Id="rId225" Type="http://schemas.openxmlformats.org/officeDocument/2006/relationships/hyperlink" Target="https://southlondoncollege.org/course/athe-level-4-extended-diploma-computing-data-analyst/" TargetMode="External"/><Relationship Id="rId246" Type="http://schemas.openxmlformats.org/officeDocument/2006/relationships/hyperlink" Target="https://southlondoncollege.org/course/athe-level-5-diploma-supporting-teaching-learning/" TargetMode="External"/><Relationship Id="rId267" Type="http://schemas.openxmlformats.org/officeDocument/2006/relationships/hyperlink" Target="https://southlondoncollege.org/course/athe-level-6-diploma-management-finance/" TargetMode="External"/><Relationship Id="rId288" Type="http://schemas.openxmlformats.org/officeDocument/2006/relationships/hyperlink" Target="https://southlondoncollege.org/course/athe-level-7-extended-diploma-accounting-finance/" TargetMode="External"/><Relationship Id="rId106" Type="http://schemas.openxmlformats.org/officeDocument/2006/relationships/hyperlink" Target="https://southlondoncollege.org/course/diploma-in-writing-essays-level-3/" TargetMode="External"/><Relationship Id="rId127" Type="http://schemas.openxmlformats.org/officeDocument/2006/relationships/hyperlink" Target="https://southlondoncollege.org/course/ncfe-level-2-functional-skills-qualification-in-mathematics/" TargetMode="External"/><Relationship Id="rId10" Type="http://schemas.openxmlformats.org/officeDocument/2006/relationships/hyperlink" Target="https://southlondoncollege.org/course/advanced-diploma-in-business-management-at-qls-level-5-2/" TargetMode="External"/><Relationship Id="rId31" Type="http://schemas.openxmlformats.org/officeDocument/2006/relationships/hyperlink" Target="https://southlondoncollege.org/course/diploma-in-advanced-financial-reporting-level-5/" TargetMode="External"/><Relationship Id="rId52" Type="http://schemas.openxmlformats.org/officeDocument/2006/relationships/hyperlink" Target="https://southlondoncollege.org/course/diploma-in-business-supervision-at-qls-level-3-2/" TargetMode="External"/><Relationship Id="rId73" Type="http://schemas.openxmlformats.org/officeDocument/2006/relationships/hyperlink" Target="https://southlondoncollege.org/course/diploma-in-foreign-exchange-market-level-3/" TargetMode="External"/><Relationship Id="rId94" Type="http://schemas.openxmlformats.org/officeDocument/2006/relationships/hyperlink" Target="https://southlondoncollege.org/course/diploma-in-pumping-principles-level-3/" TargetMode="External"/><Relationship Id="rId148" Type="http://schemas.openxmlformats.org/officeDocument/2006/relationships/hyperlink" Target="https://southlondoncollege.org/course/level-3-award-teaching-roles-responsibilities/" TargetMode="External"/><Relationship Id="rId169" Type="http://schemas.openxmlformats.org/officeDocument/2006/relationships/hyperlink" Target="https://southlondoncollege.org/course/ncfe-cache-level-3-diploma-residential-childcare-england/" TargetMode="External"/><Relationship Id="rId4" Type="http://schemas.openxmlformats.org/officeDocument/2006/relationships/hyperlink" Target="https://southlondoncollege.org/course/advanced-diploma-in-animal-care-career-level-3/" TargetMode="External"/><Relationship Id="rId180" Type="http://schemas.openxmlformats.org/officeDocument/2006/relationships/hyperlink" Target="https://southlondoncollege.org/course/athe-level-3-diploma-business-90/" TargetMode="External"/><Relationship Id="rId215" Type="http://schemas.openxmlformats.org/officeDocument/2006/relationships/hyperlink" Target="https://southlondoncollege.org/course/level-4-diploma-in-advanced-care-practitioner/" TargetMode="External"/><Relationship Id="rId236" Type="http://schemas.openxmlformats.org/officeDocument/2006/relationships/hyperlink" Target="https://southlondoncollege.org/course/athe-level-5-diploma-business-management/" TargetMode="External"/><Relationship Id="rId257" Type="http://schemas.openxmlformats.org/officeDocument/2006/relationships/hyperlink" Target="https://southlondoncollege.org/course/athe-level-5-extended-diploma-health-social-care/" TargetMode="External"/><Relationship Id="rId278" Type="http://schemas.openxmlformats.org/officeDocument/2006/relationships/hyperlink" Target="https://southlondoncollege.org/course/athe-level-7-certificate-leading-quality-teaching-learning-assessment/" TargetMode="External"/><Relationship Id="rId303" Type="http://schemas.openxmlformats.org/officeDocument/2006/relationships/hyperlink" Target="https://southlondoncollege.org/course/pearson-btec-level-4-diploma-in-business-administration-2/" TargetMode="External"/><Relationship Id="rId42" Type="http://schemas.openxmlformats.org/officeDocument/2006/relationships/hyperlink" Target="https://southlondoncollege.org/course/diploma-in-business-and-management-at-qls-level-6-2/" TargetMode="External"/><Relationship Id="rId84" Type="http://schemas.openxmlformats.org/officeDocument/2006/relationships/hyperlink" Target="https://southlondoncollege.org/course/diploma-in-mastering-spss-software-and-analysis-level-2/" TargetMode="External"/><Relationship Id="rId138" Type="http://schemas.openxmlformats.org/officeDocument/2006/relationships/hyperlink" Target="https://southlondoncollege.org/course/level-3-award-introduction-cyber-security/" TargetMode="External"/><Relationship Id="rId191" Type="http://schemas.openxmlformats.org/officeDocument/2006/relationships/hyperlink" Target="https://southlondoncollege.org/course/level-3-diploma-in-personal-training/" TargetMode="External"/><Relationship Id="rId205" Type="http://schemas.openxmlformats.org/officeDocument/2006/relationships/hyperlink" Target="https://southlondoncollege.org/course/level-4-iqa-qualification/" TargetMode="External"/><Relationship Id="rId247" Type="http://schemas.openxmlformats.org/officeDocument/2006/relationships/hyperlink" Target="https://southlondoncollege.org/course/level-5-diploma-in-teaching-dit/" TargetMode="External"/><Relationship Id="rId107" Type="http://schemas.openxmlformats.org/officeDocument/2006/relationships/hyperlink" Target="https://southlondoncollege.org/course/diploma-in-weeds-identification-and-control-level-4/" TargetMode="External"/><Relationship Id="rId289" Type="http://schemas.openxmlformats.org/officeDocument/2006/relationships/hyperlink" Target="https://southlondoncollege.org/course/athe-level-7-extended-diploma-computing-technologies-application-development/" TargetMode="External"/><Relationship Id="rId11" Type="http://schemas.openxmlformats.org/officeDocument/2006/relationships/hyperlink" Target="https://southlondoncollege.org/course/advanced-diploma-in-business-starting-up-level-3/" TargetMode="External"/><Relationship Id="rId53" Type="http://schemas.openxmlformats.org/officeDocument/2006/relationships/hyperlink" Target="https://southlondoncollege.org/course/diploma-in-care-of-the-senior-pets-level-3/" TargetMode="External"/><Relationship Id="rId149" Type="http://schemas.openxmlformats.org/officeDocument/2006/relationships/hyperlink" Target="https://southlondoncollege.org/course/level-3-award-in-understanding-human-anatomy-and-physiology/" TargetMode="External"/><Relationship Id="rId95" Type="http://schemas.openxmlformats.org/officeDocument/2006/relationships/hyperlink" Target="https://southlondoncollege.org/course/diploma-in-pumping-principles-level-4/" TargetMode="External"/><Relationship Id="rId160" Type="http://schemas.openxmlformats.org/officeDocument/2006/relationships/hyperlink" Target="https://southlondoncollege.org/course/level-3-certificate-supporting-pe-school-sport/" TargetMode="External"/><Relationship Id="rId216" Type="http://schemas.openxmlformats.org/officeDocument/2006/relationships/hyperlink" Target="https://southlondoncollege.org/course/athe-level-4-diploma-business-management/" TargetMode="External"/><Relationship Id="rId258" Type="http://schemas.openxmlformats.org/officeDocument/2006/relationships/hyperlink" Target="https://southlondoncollege.org/course/athe-level-5-extended-diploma-law/" TargetMode="External"/><Relationship Id="rId22" Type="http://schemas.openxmlformats.org/officeDocument/2006/relationships/hyperlink" Target="https://southlondoncollege.org/course/certificate-in-management-and-leadership-at-qls-level-4-2/" TargetMode="External"/><Relationship Id="rId64" Type="http://schemas.openxmlformats.org/officeDocument/2006/relationships/hyperlink" Target="https://southlondoncollege.org/course/diploma-in-corporate-business-at-qls-level-3-2/" TargetMode="External"/><Relationship Id="rId118" Type="http://schemas.openxmlformats.org/officeDocument/2006/relationships/hyperlink" Target="https://southlondoncollege.org/course/level-2-adult-social-care-certificate/" TargetMode="External"/><Relationship Id="rId171" Type="http://schemas.openxmlformats.org/officeDocument/2006/relationships/hyperlink" Target="https://southlondoncollege.org/course/level-3-diploma-for-the-children-and-young-peoples-workforce-england-learning-development-and-support-services-rqf/" TargetMode="External"/><Relationship Id="rId227" Type="http://schemas.openxmlformats.org/officeDocument/2006/relationships/hyperlink" Target="https://southlondoncollege.org/course/athe-level-4-extended-diploma-computing-software-developer/" TargetMode="External"/><Relationship Id="rId269" Type="http://schemas.openxmlformats.org/officeDocument/2006/relationships/hyperlink" Target="https://southlondoncollege.org/course/athe-level-6-diploma-management/" TargetMode="External"/><Relationship Id="rId33" Type="http://schemas.openxmlformats.org/officeDocument/2006/relationships/hyperlink" Target="https://southlondoncollege.org/course/diploma-in-agricultural-pest-control-level-4/" TargetMode="External"/><Relationship Id="rId129" Type="http://schemas.openxmlformats.org/officeDocument/2006/relationships/hyperlink" Target="https://southlondoncollege.org/course/level-3-award-in-artificial-intelligence-in-education/" TargetMode="External"/><Relationship Id="rId280" Type="http://schemas.openxmlformats.org/officeDocument/2006/relationships/hyperlink" Target="https://southlondoncollege.org/course/athe-level-7-diploma-healthcare-management/" TargetMode="External"/><Relationship Id="rId75" Type="http://schemas.openxmlformats.org/officeDocument/2006/relationships/hyperlink" Target="https://southlondoncollege.org/course/diploma-in-general-pest-control-level-4/" TargetMode="External"/><Relationship Id="rId140" Type="http://schemas.openxmlformats.org/officeDocument/2006/relationships/hyperlink" Target="https://southlondoncollege.org/course/level-3-award-introduction-emerging-technologies/" TargetMode="External"/><Relationship Id="rId182" Type="http://schemas.openxmlformats.org/officeDocument/2006/relationships/hyperlink" Target="https://southlondoncollege.org/course/athe-level-3-diploma-business-management/" TargetMode="External"/><Relationship Id="rId6" Type="http://schemas.openxmlformats.org/officeDocument/2006/relationships/hyperlink" Target="https://southlondoncollege.org/course/advanced-diploma-in-animal-psychology-level-3/" TargetMode="External"/><Relationship Id="rId238" Type="http://schemas.openxmlformats.org/officeDocument/2006/relationships/hyperlink" Target="https://southlondoncollege.org/course/athe-level-5-diploma-health-social-care/" TargetMode="External"/><Relationship Id="rId291" Type="http://schemas.openxmlformats.org/officeDocument/2006/relationships/hyperlink" Target="https://southlondoncollege.org/course/athe-level-7-extended-diploma-computing-technologies-data-analytics/" TargetMode="External"/><Relationship Id="rId305" Type="http://schemas.openxmlformats.org/officeDocument/2006/relationships/hyperlink" Target="https://southlondoncollege.org/course/pearson-btec-level-7-certificate-in-strategic-management-and-leadership-rqf-20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1048542"/>
  <sheetViews>
    <sheetView tabSelected="1" topLeftCell="N1" zoomScale="70" zoomScaleNormal="70" workbookViewId="0">
      <pane ySplit="1" topLeftCell="B191" activePane="bottomLeft" state="frozen"/>
      <selection pane="bottomLeft" activeCell="E202" sqref="E202"/>
    </sheetView>
  </sheetViews>
  <sheetFormatPr defaultColWidth="8.85546875" defaultRowHeight="14.85"/>
  <cols>
    <col min="1" max="1" width="8.85546875" style="68"/>
    <col min="2" max="2" width="64.42578125" style="69" customWidth="1"/>
    <col min="3" max="3" width="75.42578125" style="70" customWidth="1"/>
    <col min="4" max="4" width="22.85546875" style="10" bestFit="1" customWidth="1"/>
    <col min="5" max="5" width="24.140625" style="10" bestFit="1" customWidth="1"/>
    <col min="6" max="6" width="20.7109375" style="71" customWidth="1"/>
    <col min="7" max="7" width="22.42578125" style="72" bestFit="1" customWidth="1"/>
    <col min="8" max="8" width="27" style="78" customWidth="1"/>
    <col min="9" max="9" width="24.28515625" style="10" bestFit="1" customWidth="1"/>
    <col min="10" max="10" width="25.5703125" style="10" bestFit="1" customWidth="1"/>
    <col min="11" max="11" width="33.140625" style="79" customWidth="1"/>
    <col min="12" max="12" width="33.5703125" style="80" customWidth="1"/>
    <col min="13" max="13" width="30.85546875" style="81" customWidth="1"/>
    <col min="14" max="14" width="30.85546875" style="82" customWidth="1"/>
    <col min="15" max="15" width="30.85546875" style="81" customWidth="1"/>
    <col min="16" max="16" width="30.85546875" style="79" customWidth="1"/>
    <col min="17" max="17" width="30.85546875" style="82" customWidth="1"/>
    <col min="18" max="18" width="30.85546875" style="79" customWidth="1"/>
    <col min="19" max="19" width="30.85546875" style="82" customWidth="1"/>
    <col min="20" max="20" width="49.28515625" style="10" bestFit="1" customWidth="1"/>
    <col min="21" max="16384" width="8.85546875" style="10"/>
  </cols>
  <sheetData>
    <row r="1" spans="1:156" s="1" customFormat="1">
      <c r="A1" s="13" t="s">
        <v>0</v>
      </c>
      <c r="B1" s="14" t="s">
        <v>1</v>
      </c>
      <c r="C1" s="14" t="s">
        <v>2</v>
      </c>
      <c r="D1" s="15" t="s">
        <v>3</v>
      </c>
      <c r="E1" s="50" t="s">
        <v>4</v>
      </c>
      <c r="F1" s="55" t="s">
        <v>5</v>
      </c>
      <c r="G1" s="16" t="s">
        <v>6</v>
      </c>
      <c r="H1" s="16" t="s">
        <v>7</v>
      </c>
      <c r="I1" s="15" t="s">
        <v>8</v>
      </c>
      <c r="J1" s="15" t="s">
        <v>9</v>
      </c>
      <c r="K1" s="57" t="s">
        <v>10</v>
      </c>
      <c r="L1" s="60" t="s">
        <v>11</v>
      </c>
      <c r="M1" s="63" t="s">
        <v>12</v>
      </c>
      <c r="N1" s="64" t="s">
        <v>13</v>
      </c>
      <c r="O1" s="63" t="s">
        <v>14</v>
      </c>
      <c r="P1" s="57" t="s">
        <v>15</v>
      </c>
      <c r="Q1" s="64" t="s">
        <v>16</v>
      </c>
      <c r="R1" s="57" t="s">
        <v>17</v>
      </c>
      <c r="S1" s="64" t="s">
        <v>18</v>
      </c>
      <c r="T1" s="15" t="s">
        <v>19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 s="6"/>
    </row>
    <row r="2" spans="1:156" s="3" customFormat="1" ht="29.45">
      <c r="A2" s="17">
        <v>1</v>
      </c>
      <c r="B2" s="18" t="s">
        <v>20</v>
      </c>
      <c r="C2" s="19" t="s">
        <v>21</v>
      </c>
      <c r="D2" s="20" t="s">
        <v>22</v>
      </c>
      <c r="E2" s="21" t="s">
        <v>23</v>
      </c>
      <c r="F2" s="56">
        <f>MROUND(IF(TRIM(T2)="ATHE", D2*0.75, IF(TRIM(T2)="Focus Awards", D2*0.6, D2*0.7)) + 1, 10) - 1</f>
        <v>489</v>
      </c>
      <c r="G2" s="22">
        <f>1-E2/D2</f>
        <v>0.40061633281972264</v>
      </c>
      <c r="H2" s="51">
        <f>1-F2/D2</f>
        <v>0.24653312788906012</v>
      </c>
      <c r="I2" s="20" t="s">
        <v>24</v>
      </c>
      <c r="J2" s="20" t="s">
        <v>25</v>
      </c>
      <c r="K2" s="58">
        <f>MROUND(IF(TRIM(T2)="ATHE", I2*0.75, IF(TRIM(T2)="Focus Awards", I2*0.6, I2*0.7)) + 1, 10) - 1</f>
        <v>589</v>
      </c>
      <c r="L2" s="61">
        <f>1-J2/I2</f>
        <v>0.39794608472400517</v>
      </c>
      <c r="M2" s="65">
        <f>1-K2/I2</f>
        <v>0.24390243902439024</v>
      </c>
      <c r="N2" s="58">
        <f>ROUND(IF(TRIM(T2)="ATHE", VALUE(SUBSTITUTE(SUBSTITUTE(D2,"£",""),",",""))*0.85, VALUE(SUBSTITUTE(SUBSTITUTE(D2,"£",""),",",""))*0.8), 0)</f>
        <v>552</v>
      </c>
      <c r="O2" s="65">
        <f>1-N2/D2</f>
        <v>0.14946070878274265</v>
      </c>
      <c r="P2" s="58">
        <f>IF(K2&lt;500, 35, 99)</f>
        <v>99</v>
      </c>
      <c r="Q2" s="66">
        <f>ROUNDUP((N2-P2)/S2, 0)</f>
        <v>51</v>
      </c>
      <c r="R2" s="58">
        <f>(N2-P2) - (Q2 * (S2-1))</f>
        <v>45</v>
      </c>
      <c r="S2" s="67">
        <f>IF(K2&lt;500, 6, 9)</f>
        <v>9</v>
      </c>
      <c r="T2" s="23" t="s">
        <v>26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7"/>
    </row>
    <row r="3" spans="1:156" s="1" customFormat="1" ht="29.45">
      <c r="A3" s="23">
        <v>2</v>
      </c>
      <c r="B3" s="18" t="s">
        <v>27</v>
      </c>
      <c r="C3" s="19" t="s">
        <v>28</v>
      </c>
      <c r="D3" s="20" t="s">
        <v>22</v>
      </c>
      <c r="E3" s="21" t="s">
        <v>23</v>
      </c>
      <c r="F3" s="56">
        <f>MROUND(IF(TRIM(T3)="ATHE", D3*0.75, IF(TRIM(T3)="Focus Awards", D3*0.6, D3*0.7)) + 1, 10) - 1</f>
        <v>489</v>
      </c>
      <c r="G3" s="22">
        <f t="shared" ref="G3:G66" si="0">1-E3/D3</f>
        <v>0.40061633281972264</v>
      </c>
      <c r="H3" s="51">
        <f t="shared" ref="H3:H66" si="1">1-F3/D3</f>
        <v>0.24653312788906012</v>
      </c>
      <c r="I3" s="20" t="s">
        <v>24</v>
      </c>
      <c r="J3" s="20" t="s">
        <v>25</v>
      </c>
      <c r="K3" s="58">
        <f>MROUND(IF(TRIM(T3)="ATHE", I3*0.75, IF(TRIM(T3)="Focus Awards", I3*0.6, I3*0.7)) + 1, 10) - 1</f>
        <v>589</v>
      </c>
      <c r="L3" s="61">
        <f t="shared" ref="L3:L66" si="2">1-J3/I3</f>
        <v>0.39794608472400517</v>
      </c>
      <c r="M3" s="65">
        <f t="shared" ref="M3:M66" si="3">1-K3/I3</f>
        <v>0.24390243902439024</v>
      </c>
      <c r="N3" s="58">
        <f>ROUND(IF(TRIM(T3)="ATHE", VALUE(SUBSTITUTE(SUBSTITUTE(D3,"£",""),",",""))*0.85, VALUE(SUBSTITUTE(SUBSTITUTE(D3,"£",""),",",""))*0.8), 0)</f>
        <v>552</v>
      </c>
      <c r="O3" s="65">
        <f t="shared" ref="O3:O66" si="4">1-N3/D3</f>
        <v>0.14946070878274265</v>
      </c>
      <c r="P3" s="58">
        <f t="shared" ref="P3:P66" si="5">IF(K3&lt;500, 35, 99)</f>
        <v>99</v>
      </c>
      <c r="Q3" s="66">
        <f t="shared" ref="Q3:Q66" si="6">ROUNDUP((N3-P3)/S3, 0)</f>
        <v>51</v>
      </c>
      <c r="R3" s="58">
        <f t="shared" ref="R3:R66" si="7">(N3-P3) - (Q3 * (S3-1))</f>
        <v>45</v>
      </c>
      <c r="S3" s="67">
        <f t="shared" ref="S3:S66" si="8">IF(K3&lt;500, 6, 9)</f>
        <v>9</v>
      </c>
      <c r="T3" s="23" t="s">
        <v>26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 s="6"/>
    </row>
    <row r="4" spans="1:156" s="1" customFormat="1">
      <c r="A4" s="17">
        <v>3</v>
      </c>
      <c r="B4" s="18" t="s">
        <v>29</v>
      </c>
      <c r="C4" s="19" t="s">
        <v>30</v>
      </c>
      <c r="D4" s="20" t="s">
        <v>22</v>
      </c>
      <c r="E4" s="21" t="s">
        <v>23</v>
      </c>
      <c r="F4" s="56">
        <f>MROUND(IF(TRIM(T4)="ATHE", D4*0.75, IF(TRIM(T4)="Focus Awards", D4*0.6, D4*0.7)) + 1, 10) - 1</f>
        <v>489</v>
      </c>
      <c r="G4" s="22">
        <f t="shared" si="0"/>
        <v>0.40061633281972264</v>
      </c>
      <c r="H4" s="51">
        <f t="shared" si="1"/>
        <v>0.24653312788906012</v>
      </c>
      <c r="I4" s="20" t="s">
        <v>24</v>
      </c>
      <c r="J4" s="20" t="s">
        <v>25</v>
      </c>
      <c r="K4" s="58">
        <f>MROUND(IF(TRIM(T4)="ATHE", I4*0.75, IF(TRIM(T4)="Focus Awards", I4*0.6, I4*0.7)) + 1, 10) - 1</f>
        <v>589</v>
      </c>
      <c r="L4" s="61">
        <f t="shared" si="2"/>
        <v>0.39794608472400517</v>
      </c>
      <c r="M4" s="65">
        <f t="shared" si="3"/>
        <v>0.24390243902439024</v>
      </c>
      <c r="N4" s="58">
        <f>ROUND(IF(TRIM(T4)="ATHE", VALUE(SUBSTITUTE(SUBSTITUTE(D4,"£",""),",",""))*0.85, VALUE(SUBSTITUTE(SUBSTITUTE(D4,"£",""),",",""))*0.8), 0)</f>
        <v>552</v>
      </c>
      <c r="O4" s="65">
        <f t="shared" si="4"/>
        <v>0.14946070878274265</v>
      </c>
      <c r="P4" s="58">
        <f t="shared" si="5"/>
        <v>99</v>
      </c>
      <c r="Q4" s="66">
        <f t="shared" si="6"/>
        <v>51</v>
      </c>
      <c r="R4" s="58">
        <f t="shared" si="7"/>
        <v>45</v>
      </c>
      <c r="S4" s="67">
        <f t="shared" si="8"/>
        <v>9</v>
      </c>
      <c r="T4" s="23" t="s">
        <v>26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 s="6"/>
    </row>
    <row r="5" spans="1:156" s="1" customFormat="1">
      <c r="A5" s="23">
        <v>4</v>
      </c>
      <c r="B5" s="18" t="s">
        <v>31</v>
      </c>
      <c r="C5" s="19" t="s">
        <v>32</v>
      </c>
      <c r="D5" s="20" t="s">
        <v>22</v>
      </c>
      <c r="E5" s="21" t="s">
        <v>23</v>
      </c>
      <c r="F5" s="56">
        <f>MROUND(IF(TRIM(T5)="ATHE", D5*0.75, IF(TRIM(T5)="Focus Awards", D5*0.6, D5*0.7)) + 1, 10) - 1</f>
        <v>489</v>
      </c>
      <c r="G5" s="22">
        <f t="shared" si="0"/>
        <v>0.40061633281972264</v>
      </c>
      <c r="H5" s="51">
        <f t="shared" si="1"/>
        <v>0.24653312788906012</v>
      </c>
      <c r="I5" s="20" t="s">
        <v>24</v>
      </c>
      <c r="J5" s="20" t="s">
        <v>25</v>
      </c>
      <c r="K5" s="58">
        <f>MROUND(IF(TRIM(T5)="ATHE", I5*0.75, IF(TRIM(T5)="Focus Awards", I5*0.6, I5*0.7)) + 1, 10) - 1</f>
        <v>589</v>
      </c>
      <c r="L5" s="61">
        <f t="shared" si="2"/>
        <v>0.39794608472400517</v>
      </c>
      <c r="M5" s="65">
        <f t="shared" si="3"/>
        <v>0.24390243902439024</v>
      </c>
      <c r="N5" s="58">
        <f>ROUND(IF(TRIM(T5)="ATHE", VALUE(SUBSTITUTE(SUBSTITUTE(D5,"£",""),",",""))*0.85, VALUE(SUBSTITUTE(SUBSTITUTE(D5,"£",""),",",""))*0.8), 0)</f>
        <v>552</v>
      </c>
      <c r="O5" s="65">
        <f t="shared" si="4"/>
        <v>0.14946070878274265</v>
      </c>
      <c r="P5" s="58">
        <f t="shared" si="5"/>
        <v>99</v>
      </c>
      <c r="Q5" s="66">
        <f t="shared" si="6"/>
        <v>51</v>
      </c>
      <c r="R5" s="58">
        <f t="shared" si="7"/>
        <v>45</v>
      </c>
      <c r="S5" s="67">
        <f t="shared" si="8"/>
        <v>9</v>
      </c>
      <c r="T5" s="23" t="s">
        <v>26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 s="6"/>
    </row>
    <row r="6" spans="1:156" s="1" customFormat="1">
      <c r="A6" s="17">
        <v>5</v>
      </c>
      <c r="B6" s="18" t="s">
        <v>33</v>
      </c>
      <c r="C6" s="19" t="s">
        <v>34</v>
      </c>
      <c r="D6" s="20" t="s">
        <v>22</v>
      </c>
      <c r="E6" s="21" t="s">
        <v>23</v>
      </c>
      <c r="F6" s="56">
        <f>MROUND(IF(TRIM(T6)="ATHE", D6*0.75, IF(TRIM(T6)="Focus Awards", D6*0.6, D6*0.7)) + 1, 10) - 1</f>
        <v>489</v>
      </c>
      <c r="G6" s="22">
        <f t="shared" si="0"/>
        <v>0.40061633281972264</v>
      </c>
      <c r="H6" s="51">
        <f t="shared" si="1"/>
        <v>0.24653312788906012</v>
      </c>
      <c r="I6" s="20" t="s">
        <v>24</v>
      </c>
      <c r="J6" s="20" t="s">
        <v>25</v>
      </c>
      <c r="K6" s="58">
        <f>MROUND(IF(TRIM(T6)="ATHE", I6*0.75, IF(TRIM(T6)="Focus Awards", I6*0.6, I6*0.7)) + 1, 10) - 1</f>
        <v>589</v>
      </c>
      <c r="L6" s="61">
        <f t="shared" si="2"/>
        <v>0.39794608472400517</v>
      </c>
      <c r="M6" s="65">
        <f t="shared" si="3"/>
        <v>0.24390243902439024</v>
      </c>
      <c r="N6" s="58">
        <f>ROUND(IF(TRIM(T6)="ATHE", VALUE(SUBSTITUTE(SUBSTITUTE(D6,"£",""),",",""))*0.85, VALUE(SUBSTITUTE(SUBSTITUTE(D6,"£",""),",",""))*0.8), 0)</f>
        <v>552</v>
      </c>
      <c r="O6" s="65">
        <f t="shared" si="4"/>
        <v>0.14946070878274265</v>
      </c>
      <c r="P6" s="58">
        <f t="shared" si="5"/>
        <v>99</v>
      </c>
      <c r="Q6" s="66">
        <f t="shared" si="6"/>
        <v>51</v>
      </c>
      <c r="R6" s="58">
        <f t="shared" si="7"/>
        <v>45</v>
      </c>
      <c r="S6" s="67">
        <f t="shared" si="8"/>
        <v>9</v>
      </c>
      <c r="T6" s="23" t="s">
        <v>26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 s="6"/>
    </row>
    <row r="7" spans="1:156" s="1" customFormat="1" ht="29.45">
      <c r="A7" s="23">
        <v>6</v>
      </c>
      <c r="B7" s="18" t="s">
        <v>35</v>
      </c>
      <c r="C7" s="19" t="s">
        <v>36</v>
      </c>
      <c r="D7" s="20" t="s">
        <v>22</v>
      </c>
      <c r="E7" s="21" t="s">
        <v>23</v>
      </c>
      <c r="F7" s="56">
        <f>MROUND(IF(TRIM(T7)="ATHE", D7*0.75, IF(TRIM(T7)="Focus Awards", D7*0.6, D7*0.7)) + 1, 10) - 1</f>
        <v>489</v>
      </c>
      <c r="G7" s="22">
        <f t="shared" si="0"/>
        <v>0.40061633281972264</v>
      </c>
      <c r="H7" s="51">
        <f t="shared" si="1"/>
        <v>0.24653312788906012</v>
      </c>
      <c r="I7" s="20" t="s">
        <v>24</v>
      </c>
      <c r="J7" s="20" t="s">
        <v>25</v>
      </c>
      <c r="K7" s="58">
        <f>MROUND(IF(TRIM(T7)="ATHE", I7*0.75, IF(TRIM(T7)="Focus Awards", I7*0.6, I7*0.7)) + 1, 10) - 1</f>
        <v>589</v>
      </c>
      <c r="L7" s="61">
        <f t="shared" si="2"/>
        <v>0.39794608472400517</v>
      </c>
      <c r="M7" s="65">
        <f t="shared" si="3"/>
        <v>0.24390243902439024</v>
      </c>
      <c r="N7" s="58">
        <f>ROUND(IF(TRIM(T7)="ATHE", VALUE(SUBSTITUTE(SUBSTITUTE(D7,"£",""),",",""))*0.85, VALUE(SUBSTITUTE(SUBSTITUTE(D7,"£",""),",",""))*0.8), 0)</f>
        <v>552</v>
      </c>
      <c r="O7" s="65">
        <f t="shared" si="4"/>
        <v>0.14946070878274265</v>
      </c>
      <c r="P7" s="58">
        <f t="shared" si="5"/>
        <v>99</v>
      </c>
      <c r="Q7" s="66">
        <f t="shared" si="6"/>
        <v>51</v>
      </c>
      <c r="R7" s="58">
        <f t="shared" si="7"/>
        <v>45</v>
      </c>
      <c r="S7" s="67">
        <f t="shared" si="8"/>
        <v>9</v>
      </c>
      <c r="T7" s="23" t="s">
        <v>26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 s="6"/>
    </row>
    <row r="8" spans="1:156" s="12" customFormat="1" ht="29.45">
      <c r="A8" s="17">
        <v>7</v>
      </c>
      <c r="B8" s="18" t="s">
        <v>37</v>
      </c>
      <c r="C8" s="19" t="s">
        <v>38</v>
      </c>
      <c r="D8" s="20" t="s">
        <v>22</v>
      </c>
      <c r="E8" s="21" t="s">
        <v>23</v>
      </c>
      <c r="F8" s="56">
        <f>MROUND(IF(TRIM(T8)="ATHE", D8*0.75, IF(TRIM(T8)="Focus Awards", D8*0.6, D8*0.7)) + 1, 10) - 1</f>
        <v>489</v>
      </c>
      <c r="G8" s="22">
        <f t="shared" si="0"/>
        <v>0.40061633281972264</v>
      </c>
      <c r="H8" s="51">
        <f t="shared" si="1"/>
        <v>0.24653312788906012</v>
      </c>
      <c r="I8" s="20" t="s">
        <v>24</v>
      </c>
      <c r="J8" s="20" t="s">
        <v>25</v>
      </c>
      <c r="K8" s="58">
        <f>MROUND(IF(TRIM(T8)="ATHE", I8*0.75, IF(TRIM(T8)="Focus Awards", I8*0.6, I8*0.7)) + 1, 10) - 1</f>
        <v>589</v>
      </c>
      <c r="L8" s="61">
        <f t="shared" si="2"/>
        <v>0.39794608472400517</v>
      </c>
      <c r="M8" s="65">
        <f t="shared" si="3"/>
        <v>0.24390243902439024</v>
      </c>
      <c r="N8" s="58">
        <f>ROUND(IF(TRIM(T8)="ATHE", VALUE(SUBSTITUTE(SUBSTITUTE(D8,"£",""),",",""))*0.85, VALUE(SUBSTITUTE(SUBSTITUTE(D8,"£",""),",",""))*0.8), 0)</f>
        <v>552</v>
      </c>
      <c r="O8" s="65">
        <f t="shared" si="4"/>
        <v>0.14946070878274265</v>
      </c>
      <c r="P8" s="58">
        <f t="shared" si="5"/>
        <v>99</v>
      </c>
      <c r="Q8" s="66">
        <f t="shared" si="6"/>
        <v>51</v>
      </c>
      <c r="R8" s="58">
        <f t="shared" si="7"/>
        <v>45</v>
      </c>
      <c r="S8" s="67">
        <f t="shared" si="8"/>
        <v>9</v>
      </c>
      <c r="T8" s="23" t="s">
        <v>26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1"/>
    </row>
    <row r="9" spans="1:156" s="1" customFormat="1" ht="18.75" customHeight="1">
      <c r="A9" s="23">
        <v>8</v>
      </c>
      <c r="B9" s="18" t="s">
        <v>39</v>
      </c>
      <c r="C9" s="19" t="s">
        <v>40</v>
      </c>
      <c r="D9" s="23" t="s">
        <v>41</v>
      </c>
      <c r="E9" s="24" t="s">
        <v>42</v>
      </c>
      <c r="F9" s="56">
        <f>MROUND(IF(TRIM(T9)="ATHE", D9*0.75, IF(TRIM(T9)="Focus Awards", D9*0.6, D9*0.7)) + 1, 10) - 1</f>
        <v>339</v>
      </c>
      <c r="G9" s="22">
        <f t="shared" si="0"/>
        <v>0.33407572383073492</v>
      </c>
      <c r="H9" s="51">
        <f t="shared" si="1"/>
        <v>0.24498886414253895</v>
      </c>
      <c r="I9" s="23" t="s">
        <v>43</v>
      </c>
      <c r="J9" s="23" t="s">
        <v>44</v>
      </c>
      <c r="K9" s="58">
        <f>MROUND(IF(TRIM(T9)="ATHE", I9*0.75, IF(TRIM(T9)="Focus Awards", I9*0.6, I9*0.7)) + 1, 10) - 1</f>
        <v>409</v>
      </c>
      <c r="L9" s="61">
        <f t="shared" si="2"/>
        <v>0.33395176252319114</v>
      </c>
      <c r="M9" s="65">
        <f t="shared" si="3"/>
        <v>0.24118738404452689</v>
      </c>
      <c r="N9" s="58">
        <f>ROUND(IF(TRIM(T9)="ATHE", VALUE(SUBSTITUTE(SUBSTITUTE(D9,"£",""),",",""))*0.85, VALUE(SUBSTITUTE(SUBSTITUTE(D9,"£",""),",",""))*0.8), 0)</f>
        <v>382</v>
      </c>
      <c r="O9" s="65">
        <f t="shared" si="4"/>
        <v>0.1492204899777283</v>
      </c>
      <c r="P9" s="58">
        <f t="shared" si="5"/>
        <v>35</v>
      </c>
      <c r="Q9" s="66">
        <f t="shared" si="6"/>
        <v>58</v>
      </c>
      <c r="R9" s="58">
        <f t="shared" si="7"/>
        <v>57</v>
      </c>
      <c r="S9" s="67">
        <f t="shared" si="8"/>
        <v>6</v>
      </c>
      <c r="T9" s="23" t="s">
        <v>26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 s="6"/>
    </row>
    <row r="10" spans="1:156" s="1" customFormat="1">
      <c r="A10" s="17">
        <v>9</v>
      </c>
      <c r="B10" s="18" t="s">
        <v>45</v>
      </c>
      <c r="C10" s="19" t="s">
        <v>46</v>
      </c>
      <c r="D10" s="23" t="s">
        <v>47</v>
      </c>
      <c r="E10" s="24" t="s">
        <v>48</v>
      </c>
      <c r="F10" s="56">
        <f>MROUND(IF(TRIM(T10)="ATHE", D10*0.75, IF(TRIM(T10)="Focus Awards", D10*0.6, D10*0.7)) + 1, 10) - 1</f>
        <v>559</v>
      </c>
      <c r="G10" s="22">
        <f t="shared" si="0"/>
        <v>0.33377837116154874</v>
      </c>
      <c r="H10" s="51">
        <f t="shared" si="1"/>
        <v>0.25367156208277708</v>
      </c>
      <c r="I10" s="23" t="s">
        <v>49</v>
      </c>
      <c r="J10" s="23" t="s">
        <v>50</v>
      </c>
      <c r="K10" s="58">
        <f>MROUND(IF(TRIM(T10)="ATHE", I10*0.75, IF(TRIM(T10)="Focus Awards", I10*0.6, I10*0.7)) + 1, 10) - 1</f>
        <v>679</v>
      </c>
      <c r="L10" s="61">
        <f t="shared" si="2"/>
        <v>0.33370411568409342</v>
      </c>
      <c r="M10" s="65">
        <f t="shared" si="3"/>
        <v>0.24471635150166848</v>
      </c>
      <c r="N10" s="58">
        <f>ROUND(IF(TRIM(T10)="ATHE", VALUE(SUBSTITUTE(SUBSTITUTE(D10,"£",""),",",""))*0.85, VALUE(SUBSTITUTE(SUBSTITUTE(D10,"£",""),",",""))*0.8), 0)</f>
        <v>637</v>
      </c>
      <c r="O10" s="65">
        <f t="shared" si="4"/>
        <v>0.14953271028037385</v>
      </c>
      <c r="P10" s="58">
        <f t="shared" si="5"/>
        <v>99</v>
      </c>
      <c r="Q10" s="66">
        <f t="shared" si="6"/>
        <v>60</v>
      </c>
      <c r="R10" s="58">
        <f t="shared" si="7"/>
        <v>58</v>
      </c>
      <c r="S10" s="67">
        <f t="shared" si="8"/>
        <v>9</v>
      </c>
      <c r="T10" s="23" t="s">
        <v>26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 s="6"/>
    </row>
    <row r="11" spans="1:156" s="1" customFormat="1">
      <c r="A11" s="23">
        <v>10</v>
      </c>
      <c r="B11" s="18" t="s">
        <v>51</v>
      </c>
      <c r="C11" s="19" t="s">
        <v>52</v>
      </c>
      <c r="D11" s="23" t="s">
        <v>47</v>
      </c>
      <c r="E11" s="24" t="s">
        <v>41</v>
      </c>
      <c r="F11" s="56">
        <f>MROUND(IF(TRIM(T11)="ATHE", D11*0.75, IF(TRIM(T11)="Focus Awards", D11*0.6, D11*0.7)) + 1, 10) - 1</f>
        <v>559</v>
      </c>
      <c r="G11" s="22">
        <f t="shared" si="0"/>
        <v>0.40053404539385851</v>
      </c>
      <c r="H11" s="51">
        <f t="shared" si="1"/>
        <v>0.25367156208277708</v>
      </c>
      <c r="I11" s="23" t="s">
        <v>49</v>
      </c>
      <c r="J11" s="23" t="s">
        <v>43</v>
      </c>
      <c r="K11" s="58">
        <f>MROUND(IF(TRIM(T11)="ATHE", I11*0.75, IF(TRIM(T11)="Focus Awards", I11*0.6, I11*0.7)) + 1, 10) - 1</f>
        <v>679</v>
      </c>
      <c r="L11" s="61">
        <f t="shared" si="2"/>
        <v>0.40044493882091214</v>
      </c>
      <c r="M11" s="65">
        <f t="shared" si="3"/>
        <v>0.24471635150166848</v>
      </c>
      <c r="N11" s="58">
        <f>ROUND(IF(TRIM(T11)="ATHE", VALUE(SUBSTITUTE(SUBSTITUTE(D11,"£",""),",",""))*0.85, VALUE(SUBSTITUTE(SUBSTITUTE(D11,"£",""),",",""))*0.8), 0)</f>
        <v>637</v>
      </c>
      <c r="O11" s="65">
        <f t="shared" si="4"/>
        <v>0.14953271028037385</v>
      </c>
      <c r="P11" s="58">
        <f t="shared" si="5"/>
        <v>99</v>
      </c>
      <c r="Q11" s="66">
        <f t="shared" si="6"/>
        <v>60</v>
      </c>
      <c r="R11" s="58">
        <f t="shared" si="7"/>
        <v>58</v>
      </c>
      <c r="S11" s="67">
        <f t="shared" si="8"/>
        <v>9</v>
      </c>
      <c r="T11" s="23" t="s">
        <v>26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 s="6"/>
    </row>
    <row r="12" spans="1:156" s="1" customFormat="1" ht="29.45">
      <c r="A12" s="17">
        <v>11</v>
      </c>
      <c r="B12" s="18" t="s">
        <v>53</v>
      </c>
      <c r="C12" s="19" t="s">
        <v>54</v>
      </c>
      <c r="D12" s="23" t="s">
        <v>55</v>
      </c>
      <c r="E12" s="24" t="s">
        <v>56</v>
      </c>
      <c r="F12" s="56">
        <f>MROUND(IF(TRIM(T12)="ATHE", D12*0.75, IF(TRIM(T12)="Focus Awards", D12*0.6, D12*0.7)) + 1, 10) - 1</f>
        <v>1089</v>
      </c>
      <c r="G12" s="22">
        <f t="shared" si="0"/>
        <v>0.40027605244996545</v>
      </c>
      <c r="H12" s="51">
        <f t="shared" si="1"/>
        <v>0.24844720496894412</v>
      </c>
      <c r="I12" s="23" t="s">
        <v>57</v>
      </c>
      <c r="J12" s="23" t="s">
        <v>58</v>
      </c>
      <c r="K12" s="58">
        <f>MROUND(IF(TRIM(T12)="ATHE", I12*0.75, IF(TRIM(T12)="Focus Awards", I12*0.6, I12*0.7)) + 1, 10) - 1</f>
        <v>1309</v>
      </c>
      <c r="L12" s="61">
        <f t="shared" si="2"/>
        <v>0.40253018976423227</v>
      </c>
      <c r="M12" s="65">
        <f t="shared" si="3"/>
        <v>0.24726854514088559</v>
      </c>
      <c r="N12" s="58">
        <f>ROUND(IF(TRIM(T12)="ATHE", VALUE(SUBSTITUTE(SUBSTITUTE(D12,"£",""),",",""))*0.85, VALUE(SUBSTITUTE(SUBSTITUTE(D12,"£",""),",",""))*0.8), 0)</f>
        <v>1232</v>
      </c>
      <c r="O12" s="65">
        <f t="shared" si="4"/>
        <v>0.14975845410628019</v>
      </c>
      <c r="P12" s="58">
        <f t="shared" si="5"/>
        <v>99</v>
      </c>
      <c r="Q12" s="66">
        <f t="shared" si="6"/>
        <v>126</v>
      </c>
      <c r="R12" s="58">
        <f t="shared" si="7"/>
        <v>125</v>
      </c>
      <c r="S12" s="67">
        <f t="shared" si="8"/>
        <v>9</v>
      </c>
      <c r="T12" s="23" t="s">
        <v>26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 s="6"/>
    </row>
    <row r="13" spans="1:156" s="1" customFormat="1">
      <c r="A13" s="23">
        <v>12</v>
      </c>
      <c r="B13" s="18" t="s">
        <v>59</v>
      </c>
      <c r="C13" s="19" t="s">
        <v>60</v>
      </c>
      <c r="D13" s="23" t="s">
        <v>61</v>
      </c>
      <c r="E13" s="24" t="s">
        <v>62</v>
      </c>
      <c r="F13" s="56">
        <f>MROUND(IF(TRIM(T13)="ATHE", D13*0.75, IF(TRIM(T13)="Focus Awards", D13*0.6, D13*0.7)) + 1, 10) - 1</f>
        <v>1189</v>
      </c>
      <c r="G13" s="22">
        <f t="shared" si="0"/>
        <v>0.39898670044331852</v>
      </c>
      <c r="H13" s="51">
        <f t="shared" si="1"/>
        <v>0.24699176694110192</v>
      </c>
      <c r="I13" s="23" t="s">
        <v>63</v>
      </c>
      <c r="J13" s="23" t="s">
        <v>64</v>
      </c>
      <c r="K13" s="58">
        <f>MROUND(IF(TRIM(T13)="ATHE", I13*0.75, IF(TRIM(T13)="Focus Awards", I13*0.6, I13*0.7)) + 1, 10) - 1</f>
        <v>1429</v>
      </c>
      <c r="L13" s="61">
        <f t="shared" si="2"/>
        <v>0.40021063717746186</v>
      </c>
      <c r="M13" s="65">
        <f t="shared" si="3"/>
        <v>0.24749868351764082</v>
      </c>
      <c r="N13" s="58">
        <f>ROUND(IF(TRIM(T13)="ATHE", VALUE(SUBSTITUTE(SUBSTITUTE(D13,"£",""),",",""))*0.85, VALUE(SUBSTITUTE(SUBSTITUTE(D13,"£",""),",",""))*0.8), 0)</f>
        <v>1342</v>
      </c>
      <c r="O13" s="65">
        <f t="shared" si="4"/>
        <v>0.15009499683343885</v>
      </c>
      <c r="P13" s="58">
        <f t="shared" si="5"/>
        <v>99</v>
      </c>
      <c r="Q13" s="66">
        <f t="shared" si="6"/>
        <v>139</v>
      </c>
      <c r="R13" s="58">
        <f t="shared" si="7"/>
        <v>131</v>
      </c>
      <c r="S13" s="67">
        <f t="shared" si="8"/>
        <v>9</v>
      </c>
      <c r="T13" s="23" t="s">
        <v>26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 s="6"/>
    </row>
    <row r="14" spans="1:156" s="1" customFormat="1">
      <c r="A14" s="17">
        <v>13</v>
      </c>
      <c r="B14" s="18" t="s">
        <v>65</v>
      </c>
      <c r="C14" s="19" t="s">
        <v>66</v>
      </c>
      <c r="D14" s="23" t="s">
        <v>67</v>
      </c>
      <c r="E14" s="24" t="s">
        <v>47</v>
      </c>
      <c r="F14" s="56">
        <f>MROUND(IF(TRIM(T14)="ATHE", D14*0.75, IF(TRIM(T14)="Focus Awards", D14*0.6, D14*0.7)) + 1, 10) - 1</f>
        <v>939</v>
      </c>
      <c r="G14" s="22">
        <f t="shared" si="0"/>
        <v>0.40032025620496392</v>
      </c>
      <c r="H14" s="51">
        <f t="shared" si="1"/>
        <v>0.24819855884707764</v>
      </c>
      <c r="I14" s="23" t="s">
        <v>68</v>
      </c>
      <c r="J14" s="23" t="s">
        <v>49</v>
      </c>
      <c r="K14" s="58">
        <f>MROUND(IF(TRIM(T14)="ATHE", I14*0.75, IF(TRIM(T14)="Focus Awards", I14*0.6, I14*0.7)) + 1, 10) - 1</f>
        <v>1129</v>
      </c>
      <c r="L14" s="61">
        <f t="shared" si="2"/>
        <v>0.40026684456304207</v>
      </c>
      <c r="M14" s="65">
        <f t="shared" si="3"/>
        <v>0.24683122081387587</v>
      </c>
      <c r="N14" s="58">
        <f>ROUND(IF(TRIM(T14)="ATHE", VALUE(SUBSTITUTE(SUBSTITUTE(D14,"£",""),",",""))*0.85, VALUE(SUBSTITUTE(SUBSTITUTE(D14,"£",""),",",""))*0.8), 0)</f>
        <v>1062</v>
      </c>
      <c r="O14" s="65">
        <f t="shared" si="4"/>
        <v>0.14971977582065654</v>
      </c>
      <c r="P14" s="58">
        <f t="shared" si="5"/>
        <v>99</v>
      </c>
      <c r="Q14" s="66">
        <f t="shared" si="6"/>
        <v>107</v>
      </c>
      <c r="R14" s="58">
        <f t="shared" si="7"/>
        <v>107</v>
      </c>
      <c r="S14" s="67">
        <f t="shared" si="8"/>
        <v>9</v>
      </c>
      <c r="T14" s="23" t="s">
        <v>26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 s="6"/>
    </row>
    <row r="15" spans="1:156" s="1" customFormat="1">
      <c r="A15" s="23">
        <v>14</v>
      </c>
      <c r="B15" s="18" t="s">
        <v>69</v>
      </c>
      <c r="C15" s="19" t="s">
        <v>70</v>
      </c>
      <c r="D15" s="23" t="s">
        <v>55</v>
      </c>
      <c r="E15" s="24" t="s">
        <v>56</v>
      </c>
      <c r="F15" s="56">
        <f>MROUND(IF(TRIM(T15)="ATHE", D15*0.75, IF(TRIM(T15)="Focus Awards", D15*0.6, D15*0.7)) + 1, 10) - 1</f>
        <v>1089</v>
      </c>
      <c r="G15" s="22">
        <f t="shared" si="0"/>
        <v>0.40027605244996545</v>
      </c>
      <c r="H15" s="51">
        <f t="shared" si="1"/>
        <v>0.24844720496894412</v>
      </c>
      <c r="I15" s="23" t="s">
        <v>57</v>
      </c>
      <c r="J15" s="23" t="s">
        <v>58</v>
      </c>
      <c r="K15" s="58">
        <f>MROUND(IF(TRIM(T15)="ATHE", I15*0.75, IF(TRIM(T15)="Focus Awards", I15*0.6, I15*0.7)) + 1, 10) - 1</f>
        <v>1309</v>
      </c>
      <c r="L15" s="61">
        <f t="shared" si="2"/>
        <v>0.40253018976423227</v>
      </c>
      <c r="M15" s="65">
        <f t="shared" si="3"/>
        <v>0.24726854514088559</v>
      </c>
      <c r="N15" s="58">
        <f>ROUND(IF(TRIM(T15)="ATHE", VALUE(SUBSTITUTE(SUBSTITUTE(D15,"£",""),",",""))*0.85, VALUE(SUBSTITUTE(SUBSTITUTE(D15,"£",""),",",""))*0.8), 0)</f>
        <v>1232</v>
      </c>
      <c r="O15" s="65">
        <f t="shared" si="4"/>
        <v>0.14975845410628019</v>
      </c>
      <c r="P15" s="58">
        <f t="shared" si="5"/>
        <v>99</v>
      </c>
      <c r="Q15" s="66">
        <f t="shared" si="6"/>
        <v>126</v>
      </c>
      <c r="R15" s="58">
        <f t="shared" si="7"/>
        <v>125</v>
      </c>
      <c r="S15" s="67">
        <f t="shared" si="8"/>
        <v>9</v>
      </c>
      <c r="T15" s="23" t="s">
        <v>26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 s="6"/>
    </row>
    <row r="16" spans="1:156" s="1" customFormat="1">
      <c r="A16" s="17">
        <v>15</v>
      </c>
      <c r="B16" s="18" t="s">
        <v>71</v>
      </c>
      <c r="C16" s="19" t="s">
        <v>72</v>
      </c>
      <c r="D16" s="23" t="s">
        <v>73</v>
      </c>
      <c r="E16" s="24" t="s">
        <v>74</v>
      </c>
      <c r="F16" s="56">
        <f>MROUND(IF(TRIM(T16)="ATHE", D16*0.75, IF(TRIM(T16)="Focus Awards", D16*0.6, D16*0.7)) + 1, 10) - 1</f>
        <v>859</v>
      </c>
      <c r="G16" s="22">
        <f t="shared" si="0"/>
        <v>0.4003481288076588</v>
      </c>
      <c r="H16" s="51">
        <f t="shared" si="1"/>
        <v>0.25239338555265445</v>
      </c>
      <c r="I16" s="23" t="s">
        <v>75</v>
      </c>
      <c r="J16" s="23" t="s">
        <v>76</v>
      </c>
      <c r="K16" s="58">
        <f>MROUND(IF(TRIM(T16)="ATHE", I16*0.75, IF(TRIM(T16)="Focus Awards", I16*0.6, I16*0.7)) + 1, 10) - 1</f>
        <v>1039</v>
      </c>
      <c r="L16" s="61">
        <f t="shared" si="2"/>
        <v>0.39883973894126179</v>
      </c>
      <c r="M16" s="65">
        <f t="shared" si="3"/>
        <v>0.24655547498187091</v>
      </c>
      <c r="N16" s="58">
        <f>ROUND(IF(TRIM(T16)="ATHE", VALUE(SUBSTITUTE(SUBSTITUTE(D16,"£",""),",",""))*0.85, VALUE(SUBSTITUTE(SUBSTITUTE(D16,"£",""),",",""))*0.8), 0)</f>
        <v>977</v>
      </c>
      <c r="O16" s="65">
        <f t="shared" si="4"/>
        <v>0.14969538729329857</v>
      </c>
      <c r="P16" s="58">
        <f t="shared" si="5"/>
        <v>99</v>
      </c>
      <c r="Q16" s="66">
        <f t="shared" si="6"/>
        <v>98</v>
      </c>
      <c r="R16" s="58">
        <f t="shared" si="7"/>
        <v>94</v>
      </c>
      <c r="S16" s="67">
        <f t="shared" si="8"/>
        <v>9</v>
      </c>
      <c r="T16" s="23" t="s">
        <v>26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 s="6"/>
    </row>
    <row r="17" spans="1:156" s="1" customFormat="1" ht="29.45">
      <c r="A17" s="23">
        <v>16</v>
      </c>
      <c r="B17" s="18" t="s">
        <v>77</v>
      </c>
      <c r="C17" s="19" t="s">
        <v>78</v>
      </c>
      <c r="D17" s="23" t="s">
        <v>79</v>
      </c>
      <c r="E17" s="24" t="s">
        <v>80</v>
      </c>
      <c r="F17" s="56">
        <f>MROUND(IF(TRIM(T17)="ATHE", D17*0.75, IF(TRIM(T17)="Focus Awards", D17*0.6, D17*0.7)) + 1, 10) - 1</f>
        <v>1159</v>
      </c>
      <c r="G17" s="22">
        <f t="shared" si="0"/>
        <v>0.40025823111684955</v>
      </c>
      <c r="H17" s="51">
        <f t="shared" si="1"/>
        <v>0.25177533892834092</v>
      </c>
      <c r="I17" s="23" t="s">
        <v>81</v>
      </c>
      <c r="J17" s="23" t="s">
        <v>82</v>
      </c>
      <c r="K17" s="58">
        <f>MROUND(IF(TRIM(T17)="ATHE", I17*0.75, IF(TRIM(T17)="Focus Awards", I17*0.6, I17*0.7)) + 1, 10) - 1</f>
        <v>1399</v>
      </c>
      <c r="L17" s="61">
        <f t="shared" si="2"/>
        <v>0.39806347498655192</v>
      </c>
      <c r="M17" s="65">
        <f t="shared" si="3"/>
        <v>0.2474448628294782</v>
      </c>
      <c r="N17" s="58">
        <f>ROUND(IF(TRIM(T17)="ATHE", VALUE(SUBSTITUTE(SUBSTITUTE(D17,"£",""),",",""))*0.85, VALUE(SUBSTITUTE(SUBSTITUTE(D17,"£",""),",",""))*0.8), 0)</f>
        <v>1317</v>
      </c>
      <c r="O17" s="65">
        <f t="shared" si="4"/>
        <v>0.1497740477727566</v>
      </c>
      <c r="P17" s="58">
        <f t="shared" si="5"/>
        <v>99</v>
      </c>
      <c r="Q17" s="66">
        <f t="shared" si="6"/>
        <v>136</v>
      </c>
      <c r="R17" s="58">
        <f t="shared" si="7"/>
        <v>130</v>
      </c>
      <c r="S17" s="67">
        <f t="shared" si="8"/>
        <v>9</v>
      </c>
      <c r="T17" s="23" t="s">
        <v>26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 s="6"/>
    </row>
    <row r="18" spans="1:156" s="1" customFormat="1">
      <c r="A18" s="17">
        <v>17</v>
      </c>
      <c r="B18" s="18" t="s">
        <v>83</v>
      </c>
      <c r="C18" s="19" t="s">
        <v>84</v>
      </c>
      <c r="D18" s="23" t="s">
        <v>67</v>
      </c>
      <c r="E18" s="24" t="s">
        <v>47</v>
      </c>
      <c r="F18" s="56">
        <f>MROUND(IF(TRIM(T18)="ATHE", D18*0.75, IF(TRIM(T18)="Focus Awards", D18*0.6, D18*0.7)) + 1, 10) - 1</f>
        <v>939</v>
      </c>
      <c r="G18" s="22">
        <f t="shared" si="0"/>
        <v>0.40032025620496392</v>
      </c>
      <c r="H18" s="51">
        <f t="shared" si="1"/>
        <v>0.24819855884707764</v>
      </c>
      <c r="I18" s="23" t="s">
        <v>68</v>
      </c>
      <c r="J18" s="23" t="s">
        <v>49</v>
      </c>
      <c r="K18" s="58">
        <f>MROUND(IF(TRIM(T18)="ATHE", I18*0.75, IF(TRIM(T18)="Focus Awards", I18*0.6, I18*0.7)) + 1, 10) - 1</f>
        <v>1129</v>
      </c>
      <c r="L18" s="61">
        <f t="shared" si="2"/>
        <v>0.40026684456304207</v>
      </c>
      <c r="M18" s="65">
        <f t="shared" si="3"/>
        <v>0.24683122081387587</v>
      </c>
      <c r="N18" s="58">
        <f>ROUND(IF(TRIM(T18)="ATHE", VALUE(SUBSTITUTE(SUBSTITUTE(D18,"£",""),",",""))*0.85, VALUE(SUBSTITUTE(SUBSTITUTE(D18,"£",""),",",""))*0.8), 0)</f>
        <v>1062</v>
      </c>
      <c r="O18" s="65">
        <f t="shared" si="4"/>
        <v>0.14971977582065654</v>
      </c>
      <c r="P18" s="58">
        <f t="shared" si="5"/>
        <v>99</v>
      </c>
      <c r="Q18" s="66">
        <f t="shared" si="6"/>
        <v>107</v>
      </c>
      <c r="R18" s="58">
        <f t="shared" si="7"/>
        <v>107</v>
      </c>
      <c r="S18" s="67">
        <f t="shared" si="8"/>
        <v>9</v>
      </c>
      <c r="T18" s="23" t="s">
        <v>26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 s="6"/>
    </row>
    <row r="19" spans="1:156" s="1" customFormat="1" ht="29.45">
      <c r="A19" s="23">
        <v>18</v>
      </c>
      <c r="B19" s="18" t="s">
        <v>85</v>
      </c>
      <c r="C19" s="19" t="s">
        <v>86</v>
      </c>
      <c r="D19" s="23" t="s">
        <v>55</v>
      </c>
      <c r="E19" s="24" t="s">
        <v>56</v>
      </c>
      <c r="F19" s="56">
        <f>MROUND(IF(TRIM(T19)="ATHE", D19*0.75, IF(TRIM(T19)="Focus Awards", D19*0.6, D19*0.7)) + 1, 10) - 1</f>
        <v>1089</v>
      </c>
      <c r="G19" s="22">
        <f t="shared" si="0"/>
        <v>0.40027605244996545</v>
      </c>
      <c r="H19" s="51">
        <f t="shared" si="1"/>
        <v>0.24844720496894412</v>
      </c>
      <c r="I19" s="23" t="s">
        <v>57</v>
      </c>
      <c r="J19" s="23" t="s">
        <v>58</v>
      </c>
      <c r="K19" s="58">
        <f>MROUND(IF(TRIM(T19)="ATHE", I19*0.75, IF(TRIM(T19)="Focus Awards", I19*0.6, I19*0.7)) + 1, 10) - 1</f>
        <v>1309</v>
      </c>
      <c r="L19" s="61">
        <f t="shared" si="2"/>
        <v>0.40253018976423227</v>
      </c>
      <c r="M19" s="65">
        <f t="shared" si="3"/>
        <v>0.24726854514088559</v>
      </c>
      <c r="N19" s="58">
        <f>ROUND(IF(TRIM(T19)="ATHE", VALUE(SUBSTITUTE(SUBSTITUTE(D19,"£",""),",",""))*0.85, VALUE(SUBSTITUTE(SUBSTITUTE(D19,"£",""),",",""))*0.8), 0)</f>
        <v>1232</v>
      </c>
      <c r="O19" s="65">
        <f t="shared" si="4"/>
        <v>0.14975845410628019</v>
      </c>
      <c r="P19" s="58">
        <f t="shared" si="5"/>
        <v>99</v>
      </c>
      <c r="Q19" s="66">
        <f t="shared" si="6"/>
        <v>126</v>
      </c>
      <c r="R19" s="58">
        <f t="shared" si="7"/>
        <v>125</v>
      </c>
      <c r="S19" s="67">
        <f t="shared" si="8"/>
        <v>9</v>
      </c>
      <c r="T19" s="23" t="s">
        <v>26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 s="6"/>
    </row>
    <row r="20" spans="1:156" s="1" customFormat="1" ht="29.45">
      <c r="A20" s="17">
        <v>19</v>
      </c>
      <c r="B20" s="18" t="s">
        <v>87</v>
      </c>
      <c r="C20" s="19" t="s">
        <v>88</v>
      </c>
      <c r="D20" s="23" t="s">
        <v>89</v>
      </c>
      <c r="E20" s="24" t="s">
        <v>90</v>
      </c>
      <c r="F20" s="56">
        <f>MROUND(IF(TRIM(T20)="ATHE", D20*0.75, IF(TRIM(T20)="Focus Awards", D20*0.6, D20*0.7)) + 1, 10) - 1</f>
        <v>1239</v>
      </c>
      <c r="G20" s="22">
        <f t="shared" si="0"/>
        <v>0.40024257125530627</v>
      </c>
      <c r="H20" s="51">
        <f t="shared" si="1"/>
        <v>0.24863553668890237</v>
      </c>
      <c r="I20" s="23" t="s">
        <v>91</v>
      </c>
      <c r="J20" s="23" t="s">
        <v>92</v>
      </c>
      <c r="K20" s="58">
        <f>MROUND(IF(TRIM(T20)="ATHE", I20*0.75, IF(TRIM(T20)="Focus Awards", I20*0.6, I20*0.7)) + 1, 10) - 1</f>
        <v>1489</v>
      </c>
      <c r="L20" s="61">
        <f t="shared" si="2"/>
        <v>0.39919151086407278</v>
      </c>
      <c r="M20" s="65">
        <f t="shared" si="3"/>
        <v>0.24759979787771602</v>
      </c>
      <c r="N20" s="58">
        <f>ROUND(IF(TRIM(T20)="ATHE", VALUE(SUBSTITUTE(SUBSTITUTE(D20,"£",""),",",""))*0.85, VALUE(SUBSTITUTE(SUBSTITUTE(D20,"£",""),",",""))*0.8), 0)</f>
        <v>1402</v>
      </c>
      <c r="O20" s="65">
        <f t="shared" si="4"/>
        <v>0.14978775015160706</v>
      </c>
      <c r="P20" s="58">
        <f t="shared" si="5"/>
        <v>99</v>
      </c>
      <c r="Q20" s="66">
        <f t="shared" si="6"/>
        <v>145</v>
      </c>
      <c r="R20" s="58">
        <f t="shared" si="7"/>
        <v>143</v>
      </c>
      <c r="S20" s="67">
        <f t="shared" si="8"/>
        <v>9</v>
      </c>
      <c r="T20" s="23" t="s">
        <v>26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 s="6"/>
    </row>
    <row r="21" spans="1:156" s="1" customFormat="1" ht="29.45">
      <c r="A21" s="23">
        <v>20</v>
      </c>
      <c r="B21" s="18" t="s">
        <v>93</v>
      </c>
      <c r="C21" s="19" t="s">
        <v>94</v>
      </c>
      <c r="D21" s="23" t="s">
        <v>79</v>
      </c>
      <c r="E21" s="24" t="s">
        <v>80</v>
      </c>
      <c r="F21" s="56">
        <f>MROUND(IF(TRIM(T21)="ATHE", D21*0.75, IF(TRIM(T21)="Focus Awards", D21*0.6, D21*0.7)) + 1, 10) - 1</f>
        <v>1159</v>
      </c>
      <c r="G21" s="22">
        <f t="shared" si="0"/>
        <v>0.40025823111684955</v>
      </c>
      <c r="H21" s="51">
        <f t="shared" si="1"/>
        <v>0.25177533892834092</v>
      </c>
      <c r="I21" s="23" t="s">
        <v>81</v>
      </c>
      <c r="J21" s="23" t="s">
        <v>82</v>
      </c>
      <c r="K21" s="58">
        <f>MROUND(IF(TRIM(T21)="ATHE", I21*0.75, IF(TRIM(T21)="Focus Awards", I21*0.6, I21*0.7)) + 1, 10) - 1</f>
        <v>1399</v>
      </c>
      <c r="L21" s="61">
        <f t="shared" si="2"/>
        <v>0.39806347498655192</v>
      </c>
      <c r="M21" s="65">
        <f t="shared" si="3"/>
        <v>0.2474448628294782</v>
      </c>
      <c r="N21" s="58">
        <f>ROUND(IF(TRIM(T21)="ATHE", VALUE(SUBSTITUTE(SUBSTITUTE(D21,"£",""),",",""))*0.85, VALUE(SUBSTITUTE(SUBSTITUTE(D21,"£",""),",",""))*0.8), 0)</f>
        <v>1317</v>
      </c>
      <c r="O21" s="65">
        <f t="shared" si="4"/>
        <v>0.1497740477727566</v>
      </c>
      <c r="P21" s="58">
        <f t="shared" si="5"/>
        <v>99</v>
      </c>
      <c r="Q21" s="66">
        <f t="shared" si="6"/>
        <v>136</v>
      </c>
      <c r="R21" s="58">
        <f t="shared" si="7"/>
        <v>130</v>
      </c>
      <c r="S21" s="67">
        <f t="shared" si="8"/>
        <v>9</v>
      </c>
      <c r="T21" s="23" t="s">
        <v>26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 s="6"/>
    </row>
    <row r="22" spans="1:156" s="1" customFormat="1">
      <c r="A22" s="17">
        <v>21</v>
      </c>
      <c r="B22" s="18" t="s">
        <v>95</v>
      </c>
      <c r="C22" s="19" t="s">
        <v>96</v>
      </c>
      <c r="D22" s="23" t="s">
        <v>89</v>
      </c>
      <c r="E22" s="24" t="s">
        <v>90</v>
      </c>
      <c r="F22" s="56">
        <f>MROUND(IF(TRIM(T22)="ATHE", D22*0.75, IF(TRIM(T22)="Focus Awards", D22*0.6, D22*0.7)) + 1, 10) - 1</f>
        <v>1239</v>
      </c>
      <c r="G22" s="22">
        <f t="shared" si="0"/>
        <v>0.40024257125530627</v>
      </c>
      <c r="H22" s="51">
        <f t="shared" si="1"/>
        <v>0.24863553668890237</v>
      </c>
      <c r="I22" s="23" t="s">
        <v>91</v>
      </c>
      <c r="J22" s="23" t="s">
        <v>92</v>
      </c>
      <c r="K22" s="58">
        <f>MROUND(IF(TRIM(T22)="ATHE", I22*0.75, IF(TRIM(T22)="Focus Awards", I22*0.6, I22*0.7)) + 1, 10) - 1</f>
        <v>1489</v>
      </c>
      <c r="L22" s="61">
        <f t="shared" si="2"/>
        <v>0.39919151086407278</v>
      </c>
      <c r="M22" s="65">
        <f t="shared" si="3"/>
        <v>0.24759979787771602</v>
      </c>
      <c r="N22" s="58">
        <f>ROUND(IF(TRIM(T22)="ATHE", VALUE(SUBSTITUTE(SUBSTITUTE(D22,"£",""),",",""))*0.85, VALUE(SUBSTITUTE(SUBSTITUTE(D22,"£",""),",",""))*0.8), 0)</f>
        <v>1402</v>
      </c>
      <c r="O22" s="65">
        <f t="shared" si="4"/>
        <v>0.14978775015160706</v>
      </c>
      <c r="P22" s="58">
        <f t="shared" si="5"/>
        <v>99</v>
      </c>
      <c r="Q22" s="66">
        <f t="shared" si="6"/>
        <v>145</v>
      </c>
      <c r="R22" s="58">
        <f t="shared" si="7"/>
        <v>143</v>
      </c>
      <c r="S22" s="67">
        <f t="shared" si="8"/>
        <v>9</v>
      </c>
      <c r="T22" s="23" t="s">
        <v>26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 s="6"/>
    </row>
    <row r="23" spans="1:156" s="4" customFormat="1" ht="20.25" customHeight="1">
      <c r="A23" s="23">
        <v>22</v>
      </c>
      <c r="B23" s="18" t="s">
        <v>97</v>
      </c>
      <c r="C23" s="19" t="s">
        <v>98</v>
      </c>
      <c r="D23" s="23" t="s">
        <v>99</v>
      </c>
      <c r="E23" s="24" t="s">
        <v>100</v>
      </c>
      <c r="F23" s="56">
        <f>MROUND(IF(TRIM(T23)="ATHE", D23*0.75, IF(TRIM(T23)="Focus Awards", D23*0.6, D23*0.7)) + 1, 10) - 1</f>
        <v>1199</v>
      </c>
      <c r="G23" s="22">
        <f t="shared" si="0"/>
        <v>0.40025015634771732</v>
      </c>
      <c r="H23" s="51">
        <f t="shared" si="1"/>
        <v>0.25015634771732331</v>
      </c>
      <c r="I23" s="23" t="s">
        <v>101</v>
      </c>
      <c r="J23" s="23" t="s">
        <v>102</v>
      </c>
      <c r="K23" s="58">
        <f>MROUND(IF(TRIM(T23)="ATHE", I23*0.75, IF(TRIM(T23)="Focus Awards", I23*0.6, I23*0.7)) + 1, 10) - 1</f>
        <v>1439</v>
      </c>
      <c r="L23" s="61">
        <f t="shared" si="2"/>
        <v>0.40125065138092753</v>
      </c>
      <c r="M23" s="65">
        <f t="shared" si="3"/>
        <v>0.25013027618551331</v>
      </c>
      <c r="N23" s="58">
        <f>ROUND(IF(TRIM(T23)="ATHE", VALUE(SUBSTITUTE(SUBSTITUTE(D23,"£",""),",",""))*0.85, VALUE(SUBSTITUTE(SUBSTITUTE(D23,"£",""),",",""))*0.8), 0)</f>
        <v>1359</v>
      </c>
      <c r="O23" s="65">
        <f t="shared" si="4"/>
        <v>0.15009380863039401</v>
      </c>
      <c r="P23" s="58">
        <f t="shared" si="5"/>
        <v>99</v>
      </c>
      <c r="Q23" s="66">
        <f t="shared" si="6"/>
        <v>140</v>
      </c>
      <c r="R23" s="58">
        <f t="shared" si="7"/>
        <v>140</v>
      </c>
      <c r="S23" s="67">
        <f t="shared" si="8"/>
        <v>9</v>
      </c>
      <c r="T23" s="23" t="s">
        <v>26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 s="8"/>
    </row>
    <row r="24" spans="1:156" s="1" customFormat="1" ht="18" customHeight="1">
      <c r="A24" s="17">
        <v>23</v>
      </c>
      <c r="B24" s="18" t="s">
        <v>103</v>
      </c>
      <c r="C24" s="19" t="s">
        <v>104</v>
      </c>
      <c r="D24" s="23" t="s">
        <v>61</v>
      </c>
      <c r="E24" s="24" t="s">
        <v>62</v>
      </c>
      <c r="F24" s="56">
        <f>MROUND(IF(TRIM(T24)="ATHE", D24*0.75, IF(TRIM(T24)="Focus Awards", D24*0.6, D24*0.7)) + 1, 10) - 1</f>
        <v>1189</v>
      </c>
      <c r="G24" s="22">
        <f t="shared" si="0"/>
        <v>0.39898670044331852</v>
      </c>
      <c r="H24" s="51">
        <f t="shared" si="1"/>
        <v>0.24699176694110192</v>
      </c>
      <c r="I24" s="23" t="s">
        <v>63</v>
      </c>
      <c r="J24" s="23" t="s">
        <v>64</v>
      </c>
      <c r="K24" s="58">
        <f>MROUND(IF(TRIM(T24)="ATHE", I24*0.75, IF(TRIM(T24)="Focus Awards", I24*0.6, I24*0.7)) + 1, 10) - 1</f>
        <v>1429</v>
      </c>
      <c r="L24" s="61">
        <f t="shared" si="2"/>
        <v>0.40021063717746186</v>
      </c>
      <c r="M24" s="65">
        <f t="shared" si="3"/>
        <v>0.24749868351764082</v>
      </c>
      <c r="N24" s="58">
        <f>ROUND(IF(TRIM(T24)="ATHE", VALUE(SUBSTITUTE(SUBSTITUTE(D24,"£",""),",",""))*0.85, VALUE(SUBSTITUTE(SUBSTITUTE(D24,"£",""),",",""))*0.8), 0)</f>
        <v>1342</v>
      </c>
      <c r="O24" s="65">
        <f t="shared" si="4"/>
        <v>0.15009499683343885</v>
      </c>
      <c r="P24" s="58">
        <f t="shared" si="5"/>
        <v>99</v>
      </c>
      <c r="Q24" s="66">
        <f t="shared" si="6"/>
        <v>139</v>
      </c>
      <c r="R24" s="58">
        <f t="shared" si="7"/>
        <v>131</v>
      </c>
      <c r="S24" s="67">
        <f t="shared" si="8"/>
        <v>9</v>
      </c>
      <c r="T24" s="23" t="s">
        <v>26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 s="6"/>
    </row>
    <row r="25" spans="1:156" s="1" customFormat="1" ht="29.45">
      <c r="A25" s="23">
        <v>24</v>
      </c>
      <c r="B25" s="18" t="s">
        <v>105</v>
      </c>
      <c r="C25" s="19" t="s">
        <v>106</v>
      </c>
      <c r="D25" s="23" t="s">
        <v>99</v>
      </c>
      <c r="E25" s="24" t="s">
        <v>100</v>
      </c>
      <c r="F25" s="56">
        <f>MROUND(IF(TRIM(T25)="ATHE", D25*0.75, IF(TRIM(T25)="Focus Awards", D25*0.6, D25*0.7)) + 1, 10) - 1</f>
        <v>1199</v>
      </c>
      <c r="G25" s="22">
        <f t="shared" si="0"/>
        <v>0.40025015634771732</v>
      </c>
      <c r="H25" s="51">
        <f t="shared" si="1"/>
        <v>0.25015634771732331</v>
      </c>
      <c r="I25" s="23" t="s">
        <v>101</v>
      </c>
      <c r="J25" s="23" t="s">
        <v>102</v>
      </c>
      <c r="K25" s="58">
        <f>MROUND(IF(TRIM(T25)="ATHE", I25*0.75, IF(TRIM(T25)="Focus Awards", I25*0.6, I25*0.7)) + 1, 10) - 1</f>
        <v>1439</v>
      </c>
      <c r="L25" s="61">
        <f t="shared" si="2"/>
        <v>0.40125065138092753</v>
      </c>
      <c r="M25" s="65">
        <f t="shared" si="3"/>
        <v>0.25013027618551331</v>
      </c>
      <c r="N25" s="58">
        <f>ROUND(IF(TRIM(T25)="ATHE", VALUE(SUBSTITUTE(SUBSTITUTE(D25,"£",""),",",""))*0.85, VALUE(SUBSTITUTE(SUBSTITUTE(D25,"£",""),",",""))*0.8), 0)</f>
        <v>1359</v>
      </c>
      <c r="O25" s="65">
        <f t="shared" si="4"/>
        <v>0.15009380863039401</v>
      </c>
      <c r="P25" s="58">
        <f t="shared" si="5"/>
        <v>99</v>
      </c>
      <c r="Q25" s="66">
        <f t="shared" si="6"/>
        <v>140</v>
      </c>
      <c r="R25" s="58">
        <f t="shared" si="7"/>
        <v>140</v>
      </c>
      <c r="S25" s="67">
        <f t="shared" si="8"/>
        <v>9</v>
      </c>
      <c r="T25" s="23" t="s">
        <v>26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 s="6"/>
    </row>
    <row r="26" spans="1:156" s="1" customFormat="1">
      <c r="A26" s="17">
        <v>25</v>
      </c>
      <c r="B26" s="18" t="s">
        <v>107</v>
      </c>
      <c r="C26" s="19" t="s">
        <v>108</v>
      </c>
      <c r="D26" s="23" t="s">
        <v>109</v>
      </c>
      <c r="E26" s="24" t="s">
        <v>110</v>
      </c>
      <c r="F26" s="56">
        <f>MROUND(IF(TRIM(T26)="ATHE", D26*0.75, IF(TRIM(T26)="Focus Awards", D26*0.6, D26*0.7)) + 1, 10) - 1</f>
        <v>1369</v>
      </c>
      <c r="G26" s="22">
        <f t="shared" si="0"/>
        <v>0.3991252050300711</v>
      </c>
      <c r="H26" s="51">
        <f t="shared" si="1"/>
        <v>0.25150355385456535</v>
      </c>
      <c r="I26" s="23" t="s">
        <v>111</v>
      </c>
      <c r="J26" s="23" t="s">
        <v>112</v>
      </c>
      <c r="K26" s="58">
        <f>MROUND(IF(TRIM(T26)="ATHE", I26*0.75, IF(TRIM(T26)="Focus Awards", I26*0.6, I26*0.7)) + 1, 10) - 1</f>
        <v>1649</v>
      </c>
      <c r="L26" s="61">
        <f t="shared" si="2"/>
        <v>0.40018190086402905</v>
      </c>
      <c r="M26" s="65">
        <f t="shared" si="3"/>
        <v>0.25011368804001821</v>
      </c>
      <c r="N26" s="58">
        <f>ROUND(IF(TRIM(T26)="ATHE", VALUE(SUBSTITUTE(SUBSTITUTE(D26,"£",""),",",""))*0.85, VALUE(SUBSTITUTE(SUBSTITUTE(D26,"£",""),",",""))*0.8), 0)</f>
        <v>1555</v>
      </c>
      <c r="O26" s="65">
        <f t="shared" si="4"/>
        <v>0.149808638600328</v>
      </c>
      <c r="P26" s="58">
        <f t="shared" si="5"/>
        <v>99</v>
      </c>
      <c r="Q26" s="66">
        <f t="shared" si="6"/>
        <v>162</v>
      </c>
      <c r="R26" s="58">
        <f t="shared" si="7"/>
        <v>160</v>
      </c>
      <c r="S26" s="67">
        <f t="shared" si="8"/>
        <v>9</v>
      </c>
      <c r="T26" s="23" t="s">
        <v>26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 s="6"/>
    </row>
    <row r="27" spans="1:156" s="1" customFormat="1" ht="29.45">
      <c r="A27" s="23">
        <v>26</v>
      </c>
      <c r="B27" s="18" t="s">
        <v>113</v>
      </c>
      <c r="C27" s="19" t="s">
        <v>114</v>
      </c>
      <c r="D27" s="23" t="s">
        <v>115</v>
      </c>
      <c r="E27" s="24" t="s">
        <v>116</v>
      </c>
      <c r="F27" s="56">
        <f>MROUND(IF(TRIM(T27)="ATHE", D27*0.75, IF(TRIM(T27)="Focus Awards", D27*0.6, D27*0.7)) + 1, 10) - 1</f>
        <v>1349</v>
      </c>
      <c r="G27" s="22">
        <f t="shared" si="0"/>
        <v>0.4002223457476376</v>
      </c>
      <c r="H27" s="51">
        <f t="shared" si="1"/>
        <v>0.25013896609227348</v>
      </c>
      <c r="I27" s="23" t="s">
        <v>117</v>
      </c>
      <c r="J27" s="23" t="s">
        <v>118</v>
      </c>
      <c r="K27" s="58">
        <f>MROUND(IF(TRIM(T27)="ATHE", I27*0.75, IF(TRIM(T27)="Focus Awards", I27*0.6, I27*0.7)) + 1, 10) - 1</f>
        <v>1619</v>
      </c>
      <c r="L27" s="61">
        <f t="shared" si="2"/>
        <v>0.39833256137100514</v>
      </c>
      <c r="M27" s="65">
        <f t="shared" si="3"/>
        <v>0.25011579434923581</v>
      </c>
      <c r="N27" s="58">
        <f>ROUND(IF(TRIM(T27)="ATHE", VALUE(SUBSTITUTE(SUBSTITUTE(D27,"£",""),",",""))*0.85, VALUE(SUBSTITUTE(SUBSTITUTE(D27,"£",""),",",""))*0.8), 0)</f>
        <v>1529</v>
      </c>
      <c r="O27" s="65">
        <f t="shared" si="4"/>
        <v>0.15008337965536411</v>
      </c>
      <c r="P27" s="58">
        <f t="shared" si="5"/>
        <v>99</v>
      </c>
      <c r="Q27" s="66">
        <f t="shared" si="6"/>
        <v>159</v>
      </c>
      <c r="R27" s="58">
        <f t="shared" si="7"/>
        <v>158</v>
      </c>
      <c r="S27" s="67">
        <f t="shared" si="8"/>
        <v>9</v>
      </c>
      <c r="T27" s="23" t="s">
        <v>26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 s="6"/>
    </row>
    <row r="28" spans="1:156" s="1" customFormat="1" ht="29.45">
      <c r="A28" s="17">
        <v>27</v>
      </c>
      <c r="B28" s="18" t="s">
        <v>119</v>
      </c>
      <c r="C28" s="19" t="s">
        <v>120</v>
      </c>
      <c r="D28" s="23" t="s">
        <v>121</v>
      </c>
      <c r="E28" s="24" t="s">
        <v>122</v>
      </c>
      <c r="F28" s="56">
        <f>MROUND(IF(TRIM(T28)="ATHE", D28*0.75, IF(TRIM(T28)="Focus Awards", D28*0.6, D28*0.7)) + 1, 10) - 1</f>
        <v>1499</v>
      </c>
      <c r="G28" s="22">
        <f t="shared" si="0"/>
        <v>0.40020010005002504</v>
      </c>
      <c r="H28" s="51">
        <f t="shared" si="1"/>
        <v>0.25012506253126565</v>
      </c>
      <c r="I28" s="23" t="s">
        <v>123</v>
      </c>
      <c r="J28" s="23" t="s">
        <v>124</v>
      </c>
      <c r="K28" s="58">
        <f>MROUND(IF(TRIM(T28)="ATHE", I28*0.75, IF(TRIM(T28)="Focus Awards", I28*0.6, I28*0.7)) + 1, 10) - 1</f>
        <v>1799</v>
      </c>
      <c r="L28" s="61">
        <f t="shared" si="2"/>
        <v>0.40016673614005838</v>
      </c>
      <c r="M28" s="65">
        <f t="shared" si="3"/>
        <v>0.25010421008753647</v>
      </c>
      <c r="N28" s="58">
        <f>ROUND(IF(TRIM(T28)="ATHE", VALUE(SUBSTITUTE(SUBSTITUTE(D28,"£",""),",",""))*0.85, VALUE(SUBSTITUTE(SUBSTITUTE(D28,"£",""),",",""))*0.8), 0)</f>
        <v>1699</v>
      </c>
      <c r="O28" s="65">
        <f t="shared" si="4"/>
        <v>0.15007503751875939</v>
      </c>
      <c r="P28" s="58">
        <f t="shared" si="5"/>
        <v>99</v>
      </c>
      <c r="Q28" s="66">
        <f t="shared" si="6"/>
        <v>178</v>
      </c>
      <c r="R28" s="58">
        <f t="shared" si="7"/>
        <v>176</v>
      </c>
      <c r="S28" s="67">
        <f t="shared" si="8"/>
        <v>9</v>
      </c>
      <c r="T28" s="23" t="s">
        <v>26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 s="6"/>
    </row>
    <row r="29" spans="1:156" s="1" customFormat="1" ht="29.45">
      <c r="A29" s="23">
        <v>28</v>
      </c>
      <c r="B29" s="18" t="s">
        <v>125</v>
      </c>
      <c r="C29" s="19" t="s">
        <v>126</v>
      </c>
      <c r="D29" s="23" t="s">
        <v>127</v>
      </c>
      <c r="E29" s="24" t="s">
        <v>128</v>
      </c>
      <c r="F29" s="56">
        <f>MROUND(IF(TRIM(T29)="ATHE", D29*0.75, IF(TRIM(T29)="Focus Awards", D29*0.6, D29*0.7)) + 1, 10) - 1</f>
        <v>1579</v>
      </c>
      <c r="G29" s="22">
        <f t="shared" si="0"/>
        <v>0.40019056693663646</v>
      </c>
      <c r="H29" s="51">
        <f t="shared" si="1"/>
        <v>0.2477370176274416</v>
      </c>
      <c r="I29" s="23" t="s">
        <v>129</v>
      </c>
      <c r="J29" s="23" t="s">
        <v>130</v>
      </c>
      <c r="K29" s="58">
        <f>MROUND(IF(TRIM(T29)="ATHE", I29*0.75, IF(TRIM(T29)="Focus Awards", I29*0.6, I29*0.7)) + 1, 10) - 1</f>
        <v>1889</v>
      </c>
      <c r="L29" s="61">
        <f t="shared" si="2"/>
        <v>0.40095275903136163</v>
      </c>
      <c r="M29" s="65">
        <f t="shared" si="3"/>
        <v>0.25009924573243347</v>
      </c>
      <c r="N29" s="58">
        <f>ROUND(IF(TRIM(T29)="ATHE", VALUE(SUBSTITUTE(SUBSTITUTE(D29,"£",""),",",""))*0.85, VALUE(SUBSTITUTE(SUBSTITUTE(D29,"£",""),",",""))*0.8), 0)</f>
        <v>1784</v>
      </c>
      <c r="O29" s="65">
        <f t="shared" si="4"/>
        <v>0.15007146260123871</v>
      </c>
      <c r="P29" s="58">
        <f t="shared" si="5"/>
        <v>99</v>
      </c>
      <c r="Q29" s="66">
        <f t="shared" si="6"/>
        <v>188</v>
      </c>
      <c r="R29" s="58">
        <f t="shared" si="7"/>
        <v>181</v>
      </c>
      <c r="S29" s="67">
        <f t="shared" si="8"/>
        <v>9</v>
      </c>
      <c r="T29" s="23" t="s">
        <v>26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 s="6"/>
    </row>
    <row r="30" spans="1:156" s="1" customFormat="1">
      <c r="A30" s="17">
        <v>29</v>
      </c>
      <c r="B30" s="18" t="s">
        <v>131</v>
      </c>
      <c r="C30" s="19" t="s">
        <v>132</v>
      </c>
      <c r="D30" s="23" t="s">
        <v>133</v>
      </c>
      <c r="E30" s="24" t="s">
        <v>134</v>
      </c>
      <c r="F30" s="56">
        <f>MROUND(IF(TRIM(T30)="ATHE", D30*0.75, IF(TRIM(T30)="Focus Awards", D30*0.6, D30*0.7)) + 1, 10) - 1</f>
        <v>1279</v>
      </c>
      <c r="G30" s="22">
        <f t="shared" si="0"/>
        <v>0.40023543260741612</v>
      </c>
      <c r="H30" s="51">
        <f t="shared" si="1"/>
        <v>0.24720423778693346</v>
      </c>
      <c r="I30" s="23" t="s">
        <v>135</v>
      </c>
      <c r="J30" s="23" t="s">
        <v>136</v>
      </c>
      <c r="K30" s="58">
        <f>MROUND(IF(TRIM(T30)="ATHE", I30*0.75, IF(TRIM(T30)="Focus Awards", I30*0.6, I30*0.7)) + 1, 10) - 1</f>
        <v>1529</v>
      </c>
      <c r="L30" s="61">
        <f t="shared" si="2"/>
        <v>0.40215792054928889</v>
      </c>
      <c r="M30" s="65">
        <f t="shared" si="3"/>
        <v>0.2501226091221187</v>
      </c>
      <c r="N30" s="58">
        <f>ROUND(IF(TRIM(T30)="ATHE", VALUE(SUBSTITUTE(SUBSTITUTE(D30,"£",""),",",""))*0.85, VALUE(SUBSTITUTE(SUBSTITUTE(D30,"£",""),",",""))*0.8), 0)</f>
        <v>1444</v>
      </c>
      <c r="O30" s="65">
        <f t="shared" si="4"/>
        <v>0.150088287227781</v>
      </c>
      <c r="P30" s="58">
        <f t="shared" si="5"/>
        <v>99</v>
      </c>
      <c r="Q30" s="66">
        <f t="shared" si="6"/>
        <v>150</v>
      </c>
      <c r="R30" s="58">
        <f t="shared" si="7"/>
        <v>145</v>
      </c>
      <c r="S30" s="67">
        <f t="shared" si="8"/>
        <v>9</v>
      </c>
      <c r="T30" s="23" t="s">
        <v>26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 s="6"/>
    </row>
    <row r="31" spans="1:156" s="1" customFormat="1" ht="29.45">
      <c r="A31" s="23">
        <v>30</v>
      </c>
      <c r="B31" s="18" t="s">
        <v>137</v>
      </c>
      <c r="C31" s="19" t="s">
        <v>138</v>
      </c>
      <c r="D31" s="23" t="s">
        <v>121</v>
      </c>
      <c r="E31" s="24" t="s">
        <v>122</v>
      </c>
      <c r="F31" s="56">
        <f>MROUND(IF(TRIM(T31)="ATHE", D31*0.75, IF(TRIM(T31)="Focus Awards", D31*0.6, D31*0.7)) + 1, 10) - 1</f>
        <v>1499</v>
      </c>
      <c r="G31" s="22">
        <f t="shared" si="0"/>
        <v>0.40020010005002504</v>
      </c>
      <c r="H31" s="51">
        <f t="shared" si="1"/>
        <v>0.25012506253126565</v>
      </c>
      <c r="I31" s="23" t="s">
        <v>123</v>
      </c>
      <c r="J31" s="23" t="s">
        <v>124</v>
      </c>
      <c r="K31" s="58">
        <f>MROUND(IF(TRIM(T31)="ATHE", I31*0.75, IF(TRIM(T31)="Focus Awards", I31*0.6, I31*0.7)) + 1, 10) - 1</f>
        <v>1799</v>
      </c>
      <c r="L31" s="61">
        <f t="shared" si="2"/>
        <v>0.40016673614005838</v>
      </c>
      <c r="M31" s="65">
        <f t="shared" si="3"/>
        <v>0.25010421008753647</v>
      </c>
      <c r="N31" s="58">
        <f>ROUND(IF(TRIM(T31)="ATHE", VALUE(SUBSTITUTE(SUBSTITUTE(D31,"£",""),",",""))*0.85, VALUE(SUBSTITUTE(SUBSTITUTE(D31,"£",""),",",""))*0.8), 0)</f>
        <v>1699</v>
      </c>
      <c r="O31" s="65">
        <f t="shared" si="4"/>
        <v>0.15007503751875939</v>
      </c>
      <c r="P31" s="58">
        <f t="shared" si="5"/>
        <v>99</v>
      </c>
      <c r="Q31" s="66">
        <f t="shared" si="6"/>
        <v>178</v>
      </c>
      <c r="R31" s="58">
        <f t="shared" si="7"/>
        <v>176</v>
      </c>
      <c r="S31" s="67">
        <f t="shared" si="8"/>
        <v>9</v>
      </c>
      <c r="T31" s="23" t="s">
        <v>26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 s="6"/>
    </row>
    <row r="32" spans="1:156" s="1" customFormat="1" ht="29.45">
      <c r="A32" s="17">
        <v>31</v>
      </c>
      <c r="B32" s="18" t="s">
        <v>139</v>
      </c>
      <c r="C32" s="19" t="s">
        <v>140</v>
      </c>
      <c r="D32" s="23" t="s">
        <v>141</v>
      </c>
      <c r="E32" s="24" t="s">
        <v>110</v>
      </c>
      <c r="F32" s="56">
        <f>MROUND(IF(TRIM(T32)="ATHE", D32*0.75, IF(TRIM(T32)="Focus Awards", D32*0.6, D32*0.7)) + 1, 10) - 1</f>
        <v>1369</v>
      </c>
      <c r="G32" s="22">
        <f t="shared" si="0"/>
        <v>0.3991252050300711</v>
      </c>
      <c r="H32" s="51">
        <f t="shared" si="1"/>
        <v>0.25150355385456535</v>
      </c>
      <c r="I32" s="23" t="s">
        <v>111</v>
      </c>
      <c r="J32" s="23" t="s">
        <v>112</v>
      </c>
      <c r="K32" s="58">
        <f>MROUND(IF(TRIM(T32)="ATHE", I32*0.75, IF(TRIM(T32)="Focus Awards", I32*0.6, I32*0.7)) + 1, 10) - 1</f>
        <v>1649</v>
      </c>
      <c r="L32" s="61">
        <f t="shared" si="2"/>
        <v>0.40018190086402905</v>
      </c>
      <c r="M32" s="65">
        <f t="shared" si="3"/>
        <v>0.25011368804001821</v>
      </c>
      <c r="N32" s="58">
        <f>ROUND(IF(TRIM(T32)="ATHE", VALUE(SUBSTITUTE(SUBSTITUTE(D32,"£",""),",",""))*0.85, VALUE(SUBSTITUTE(SUBSTITUTE(D32,"£",""),",",""))*0.8), 0)</f>
        <v>1555</v>
      </c>
      <c r="O32" s="65">
        <f t="shared" si="4"/>
        <v>0.149808638600328</v>
      </c>
      <c r="P32" s="58">
        <f t="shared" si="5"/>
        <v>99</v>
      </c>
      <c r="Q32" s="66">
        <f t="shared" si="6"/>
        <v>162</v>
      </c>
      <c r="R32" s="58">
        <f t="shared" si="7"/>
        <v>160</v>
      </c>
      <c r="S32" s="67">
        <f t="shared" si="8"/>
        <v>9</v>
      </c>
      <c r="T32" s="23" t="s">
        <v>26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 s="6"/>
    </row>
    <row r="33" spans="1:156" s="1" customFormat="1" ht="29.45">
      <c r="A33" s="23">
        <v>32</v>
      </c>
      <c r="B33" s="18" t="s">
        <v>142</v>
      </c>
      <c r="C33" s="19" t="s">
        <v>143</v>
      </c>
      <c r="D33" s="23" t="s">
        <v>144</v>
      </c>
      <c r="E33" s="24" t="s">
        <v>49</v>
      </c>
      <c r="F33" s="56">
        <f>MROUND(IF(TRIM(T33)="ATHE", D33*0.75, IF(TRIM(T33)="Focus Awards", D33*0.6, D33*0.7)) + 1, 10) - 1</f>
        <v>1129</v>
      </c>
      <c r="G33" s="22">
        <f t="shared" si="0"/>
        <v>0.40026684456304207</v>
      </c>
      <c r="H33" s="51">
        <f t="shared" si="1"/>
        <v>0.24683122081387587</v>
      </c>
      <c r="I33" s="23" t="s">
        <v>145</v>
      </c>
      <c r="J33" s="23" t="s">
        <v>146</v>
      </c>
      <c r="K33" s="58">
        <f>MROUND(IF(TRIM(T33)="ATHE", I33*0.75, IF(TRIM(T33)="Focus Awards", I33*0.6, I33*0.7)) + 1, 10) - 1</f>
        <v>1349</v>
      </c>
      <c r="L33" s="61">
        <f t="shared" si="2"/>
        <v>0.4002223457476376</v>
      </c>
      <c r="M33" s="65">
        <f t="shared" si="3"/>
        <v>0.25013896609227348</v>
      </c>
      <c r="N33" s="58">
        <f>ROUND(IF(TRIM(T33)="ATHE", VALUE(SUBSTITUTE(SUBSTITUTE(D33,"£",""),",",""))*0.85, VALUE(SUBSTITUTE(SUBSTITUTE(D33,"£",""),",",""))*0.8), 0)</f>
        <v>1274</v>
      </c>
      <c r="O33" s="65">
        <f t="shared" si="4"/>
        <v>0.15010006671114073</v>
      </c>
      <c r="P33" s="58">
        <f t="shared" si="5"/>
        <v>99</v>
      </c>
      <c r="Q33" s="66">
        <f t="shared" si="6"/>
        <v>131</v>
      </c>
      <c r="R33" s="58">
        <f t="shared" si="7"/>
        <v>127</v>
      </c>
      <c r="S33" s="67">
        <f t="shared" si="8"/>
        <v>9</v>
      </c>
      <c r="T33" s="23" t="s">
        <v>26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 s="6"/>
    </row>
    <row r="34" spans="1:156" s="1" customFormat="1">
      <c r="A34" s="17">
        <v>33</v>
      </c>
      <c r="B34" s="18" t="s">
        <v>147</v>
      </c>
      <c r="C34" s="19" t="s">
        <v>148</v>
      </c>
      <c r="D34" s="23" t="s">
        <v>133</v>
      </c>
      <c r="E34" s="24" t="s">
        <v>134</v>
      </c>
      <c r="F34" s="56">
        <f>MROUND(IF(TRIM(T34)="ATHE", D34*0.75, IF(TRIM(T34)="Focus Awards", D34*0.6, D34*0.7)) + 1, 10) - 1</f>
        <v>1279</v>
      </c>
      <c r="G34" s="22">
        <f t="shared" si="0"/>
        <v>0.40023543260741612</v>
      </c>
      <c r="H34" s="51">
        <f t="shared" si="1"/>
        <v>0.24720423778693346</v>
      </c>
      <c r="I34" s="23" t="s">
        <v>135</v>
      </c>
      <c r="J34" s="23" t="s">
        <v>136</v>
      </c>
      <c r="K34" s="58">
        <f>MROUND(IF(TRIM(T34)="ATHE", I34*0.75, IF(TRIM(T34)="Focus Awards", I34*0.6, I34*0.7)) + 1, 10) - 1</f>
        <v>1529</v>
      </c>
      <c r="L34" s="61">
        <f t="shared" si="2"/>
        <v>0.40215792054928889</v>
      </c>
      <c r="M34" s="65">
        <f t="shared" si="3"/>
        <v>0.2501226091221187</v>
      </c>
      <c r="N34" s="58">
        <f>ROUND(IF(TRIM(T34)="ATHE", VALUE(SUBSTITUTE(SUBSTITUTE(D34,"£",""),",",""))*0.85, VALUE(SUBSTITUTE(SUBSTITUTE(D34,"£",""),",",""))*0.8), 0)</f>
        <v>1444</v>
      </c>
      <c r="O34" s="65">
        <f t="shared" si="4"/>
        <v>0.150088287227781</v>
      </c>
      <c r="P34" s="58">
        <f t="shared" si="5"/>
        <v>99</v>
      </c>
      <c r="Q34" s="66">
        <f t="shared" si="6"/>
        <v>150</v>
      </c>
      <c r="R34" s="58">
        <f t="shared" si="7"/>
        <v>145</v>
      </c>
      <c r="S34" s="67">
        <f t="shared" si="8"/>
        <v>9</v>
      </c>
      <c r="T34" s="23" t="s">
        <v>26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 s="6"/>
    </row>
    <row r="35" spans="1:156" s="1" customFormat="1" ht="29.45">
      <c r="A35" s="23">
        <v>34</v>
      </c>
      <c r="B35" s="18" t="s">
        <v>149</v>
      </c>
      <c r="C35" s="19" t="s">
        <v>150</v>
      </c>
      <c r="D35" s="23" t="s">
        <v>151</v>
      </c>
      <c r="E35" s="24" t="s">
        <v>67</v>
      </c>
      <c r="F35" s="56">
        <f>MROUND(IF(TRIM(T35)="ATHE", D35*0.75, IF(TRIM(T35)="Focus Awards", D35*0.6, D35*0.7)) + 1, 10) - 1</f>
        <v>1559</v>
      </c>
      <c r="G35" s="22">
        <f t="shared" si="0"/>
        <v>0.39923039923039927</v>
      </c>
      <c r="H35" s="51">
        <f t="shared" si="1"/>
        <v>0.25012025012025008</v>
      </c>
      <c r="I35" s="23" t="s">
        <v>152</v>
      </c>
      <c r="J35" s="23" t="s">
        <v>68</v>
      </c>
      <c r="K35" s="58">
        <f>MROUND(IF(TRIM(T35)="ATHE", I35*0.75, IF(TRIM(T35)="Focus Awards", I35*0.6, I35*0.7)) + 1, 10) - 1</f>
        <v>1879</v>
      </c>
      <c r="L35" s="61">
        <f t="shared" si="2"/>
        <v>0.40016006402561022</v>
      </c>
      <c r="M35" s="65">
        <f t="shared" si="3"/>
        <v>0.24809923969587833</v>
      </c>
      <c r="N35" s="58">
        <f>ROUND(IF(TRIM(T35)="ATHE", VALUE(SUBSTITUTE(SUBSTITUTE(D35,"£",""),",",""))*0.85, VALUE(SUBSTITUTE(SUBSTITUTE(D35,"£",""),",",""))*0.8), 0)</f>
        <v>1767</v>
      </c>
      <c r="O35" s="65">
        <f t="shared" si="4"/>
        <v>0.15007215007215002</v>
      </c>
      <c r="P35" s="58">
        <f t="shared" si="5"/>
        <v>99</v>
      </c>
      <c r="Q35" s="66">
        <f t="shared" si="6"/>
        <v>186</v>
      </c>
      <c r="R35" s="58">
        <f t="shared" si="7"/>
        <v>180</v>
      </c>
      <c r="S35" s="67">
        <f t="shared" si="8"/>
        <v>9</v>
      </c>
      <c r="T35" s="23" t="s">
        <v>26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 s="6"/>
    </row>
    <row r="36" spans="1:156" s="1" customFormat="1">
      <c r="A36" s="17">
        <v>35</v>
      </c>
      <c r="B36" s="18" t="s">
        <v>153</v>
      </c>
      <c r="C36" s="19" t="s">
        <v>154</v>
      </c>
      <c r="D36" s="23" t="s">
        <v>115</v>
      </c>
      <c r="E36" s="24" t="s">
        <v>116</v>
      </c>
      <c r="F36" s="56">
        <f>MROUND(IF(TRIM(T36)="ATHE", D36*0.75, IF(TRIM(T36)="Focus Awards", D36*0.6, D36*0.7)) + 1, 10) - 1</f>
        <v>1349</v>
      </c>
      <c r="G36" s="22">
        <f t="shared" si="0"/>
        <v>0.4002223457476376</v>
      </c>
      <c r="H36" s="51">
        <f t="shared" si="1"/>
        <v>0.25013896609227348</v>
      </c>
      <c r="I36" s="23" t="s">
        <v>117</v>
      </c>
      <c r="J36" s="23" t="s">
        <v>118</v>
      </c>
      <c r="K36" s="58">
        <f>MROUND(IF(TRIM(T36)="ATHE", I36*0.75, IF(TRIM(T36)="Focus Awards", I36*0.6, I36*0.7)) + 1, 10) - 1</f>
        <v>1619</v>
      </c>
      <c r="L36" s="61">
        <f t="shared" si="2"/>
        <v>0.39833256137100514</v>
      </c>
      <c r="M36" s="65">
        <f t="shared" si="3"/>
        <v>0.25011579434923581</v>
      </c>
      <c r="N36" s="58">
        <f>ROUND(IF(TRIM(T36)="ATHE", VALUE(SUBSTITUTE(SUBSTITUTE(D36,"£",""),",",""))*0.85, VALUE(SUBSTITUTE(SUBSTITUTE(D36,"£",""),",",""))*0.8), 0)</f>
        <v>1529</v>
      </c>
      <c r="O36" s="65">
        <f t="shared" si="4"/>
        <v>0.15008337965536411</v>
      </c>
      <c r="P36" s="58">
        <f t="shared" si="5"/>
        <v>99</v>
      </c>
      <c r="Q36" s="66">
        <f t="shared" si="6"/>
        <v>159</v>
      </c>
      <c r="R36" s="58">
        <f t="shared" si="7"/>
        <v>158</v>
      </c>
      <c r="S36" s="67">
        <f t="shared" si="8"/>
        <v>9</v>
      </c>
      <c r="T36" s="23" t="s">
        <v>26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 s="6"/>
    </row>
    <row r="37" spans="1:156" s="1" customFormat="1">
      <c r="A37" s="23">
        <v>36</v>
      </c>
      <c r="B37" s="18" t="s">
        <v>155</v>
      </c>
      <c r="C37" s="19" t="s">
        <v>156</v>
      </c>
      <c r="D37" s="23" t="s">
        <v>157</v>
      </c>
      <c r="E37" s="24" t="s">
        <v>158</v>
      </c>
      <c r="F37" s="56">
        <f>MROUND(IF(TRIM(T37)="ATHE", D37*0.75, IF(TRIM(T37)="Focus Awards", D37*0.6, D37*0.7)) + 1, 10) - 1</f>
        <v>1309</v>
      </c>
      <c r="G37" s="22">
        <f t="shared" si="0"/>
        <v>0.40022870211549455</v>
      </c>
      <c r="H37" s="51">
        <f t="shared" si="1"/>
        <v>0.25157232704402521</v>
      </c>
      <c r="I37" s="23" t="s">
        <v>159</v>
      </c>
      <c r="J37" s="23" t="s">
        <v>160</v>
      </c>
      <c r="K37" s="58">
        <f>MROUND(IF(TRIM(T37)="ATHE", I37*0.75, IF(TRIM(T37)="Focus Awards", I37*0.6, I37*0.7)) + 1, 10) - 1</f>
        <v>1579</v>
      </c>
      <c r="L37" s="61">
        <f t="shared" si="2"/>
        <v>0.40019056693663646</v>
      </c>
      <c r="M37" s="65">
        <f t="shared" si="3"/>
        <v>0.2477370176274416</v>
      </c>
      <c r="N37" s="58">
        <f>ROUND(IF(TRIM(T37)="ATHE", VALUE(SUBSTITUTE(SUBSTITUTE(D37,"£",""),",",""))*0.85, VALUE(SUBSTITUTE(SUBSTITUTE(D37,"£",""),",",""))*0.8), 0)</f>
        <v>1487</v>
      </c>
      <c r="O37" s="65">
        <f t="shared" si="4"/>
        <v>0.1497998856489422</v>
      </c>
      <c r="P37" s="58">
        <f t="shared" si="5"/>
        <v>99</v>
      </c>
      <c r="Q37" s="66">
        <f t="shared" si="6"/>
        <v>155</v>
      </c>
      <c r="R37" s="58">
        <f t="shared" si="7"/>
        <v>148</v>
      </c>
      <c r="S37" s="67">
        <f t="shared" si="8"/>
        <v>9</v>
      </c>
      <c r="T37" s="23" t="s">
        <v>26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 s="6"/>
    </row>
    <row r="38" spans="1:156" s="1" customFormat="1" ht="29.45">
      <c r="A38" s="17">
        <v>37</v>
      </c>
      <c r="B38" s="18" t="s">
        <v>161</v>
      </c>
      <c r="C38" s="19" t="s">
        <v>162</v>
      </c>
      <c r="D38" s="23" t="s">
        <v>163</v>
      </c>
      <c r="E38" s="24" t="s">
        <v>164</v>
      </c>
      <c r="F38" s="56">
        <f>MROUND(IF(TRIM(T38)="ATHE", D38*0.75, IF(TRIM(T38)="Focus Awards", D38*0.6, D38*0.7)) + 1, 10) - 1</f>
        <v>1649</v>
      </c>
      <c r="G38" s="22">
        <f t="shared" si="0"/>
        <v>0.40018190086402905</v>
      </c>
      <c r="H38" s="51">
        <f t="shared" si="1"/>
        <v>0.25011368804001821</v>
      </c>
      <c r="I38" s="23" t="s">
        <v>165</v>
      </c>
      <c r="J38" s="23" t="s">
        <v>166</v>
      </c>
      <c r="K38" s="58">
        <f>MROUND(IF(TRIM(T38)="ATHE", I38*0.75, IF(TRIM(T38)="Focus Awards", I38*0.6, I38*0.7)) + 1, 10) - 1</f>
        <v>1979</v>
      </c>
      <c r="L38" s="61">
        <f t="shared" si="2"/>
        <v>0.40166729821902236</v>
      </c>
      <c r="M38" s="65">
        <f t="shared" si="3"/>
        <v>0.2500947328533536</v>
      </c>
      <c r="N38" s="58">
        <f>ROUND(IF(TRIM(T38)="ATHE", VALUE(SUBSTITUTE(SUBSTITUTE(D38,"£",""),",",""))*0.85, VALUE(SUBSTITUTE(SUBSTITUTE(D38,"£",""),",",""))*0.8), 0)</f>
        <v>1869</v>
      </c>
      <c r="O38" s="65">
        <f t="shared" si="4"/>
        <v>0.15006821282401095</v>
      </c>
      <c r="P38" s="58">
        <f t="shared" si="5"/>
        <v>99</v>
      </c>
      <c r="Q38" s="66">
        <f t="shared" si="6"/>
        <v>197</v>
      </c>
      <c r="R38" s="58">
        <f t="shared" si="7"/>
        <v>194</v>
      </c>
      <c r="S38" s="67">
        <f t="shared" si="8"/>
        <v>9</v>
      </c>
      <c r="T38" s="23" t="s">
        <v>26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 s="6"/>
    </row>
    <row r="39" spans="1:156" s="1" customFormat="1">
      <c r="A39" s="23">
        <v>38</v>
      </c>
      <c r="B39" s="18" t="s">
        <v>167</v>
      </c>
      <c r="C39" s="19" t="s">
        <v>168</v>
      </c>
      <c r="D39" s="23" t="s">
        <v>144</v>
      </c>
      <c r="E39" s="24" t="s">
        <v>49</v>
      </c>
      <c r="F39" s="56">
        <f>MROUND(IF(TRIM(T39)="ATHE", D39*0.75, IF(TRIM(T39)="Focus Awards", D39*0.6, D39*0.7)) + 1, 10) - 1</f>
        <v>1129</v>
      </c>
      <c r="G39" s="22">
        <f t="shared" si="0"/>
        <v>0.40026684456304207</v>
      </c>
      <c r="H39" s="51">
        <f t="shared" si="1"/>
        <v>0.24683122081387587</v>
      </c>
      <c r="I39" s="23" t="s">
        <v>145</v>
      </c>
      <c r="J39" s="23" t="s">
        <v>146</v>
      </c>
      <c r="K39" s="58">
        <f>MROUND(IF(TRIM(T39)="ATHE", I39*0.75, IF(TRIM(T39)="Focus Awards", I39*0.6, I39*0.7)) + 1, 10) - 1</f>
        <v>1349</v>
      </c>
      <c r="L39" s="61">
        <f t="shared" si="2"/>
        <v>0.4002223457476376</v>
      </c>
      <c r="M39" s="65">
        <f t="shared" si="3"/>
        <v>0.25013896609227348</v>
      </c>
      <c r="N39" s="58">
        <f>ROUND(IF(TRIM(T39)="ATHE", VALUE(SUBSTITUTE(SUBSTITUTE(D39,"£",""),",",""))*0.85, VALUE(SUBSTITUTE(SUBSTITUTE(D39,"£",""),",",""))*0.8), 0)</f>
        <v>1274</v>
      </c>
      <c r="O39" s="65">
        <f t="shared" si="4"/>
        <v>0.15010006671114073</v>
      </c>
      <c r="P39" s="58">
        <f t="shared" si="5"/>
        <v>99</v>
      </c>
      <c r="Q39" s="66">
        <f t="shared" si="6"/>
        <v>131</v>
      </c>
      <c r="R39" s="58">
        <f t="shared" si="7"/>
        <v>127</v>
      </c>
      <c r="S39" s="67">
        <f t="shared" si="8"/>
        <v>9</v>
      </c>
      <c r="T39" s="23" t="s">
        <v>26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 s="6"/>
    </row>
    <row r="40" spans="1:156" s="1" customFormat="1">
      <c r="A40" s="17">
        <v>39</v>
      </c>
      <c r="B40" s="18" t="s">
        <v>169</v>
      </c>
      <c r="C40" s="19" t="s">
        <v>170</v>
      </c>
      <c r="D40" s="23" t="s">
        <v>171</v>
      </c>
      <c r="E40" s="24" t="s">
        <v>172</v>
      </c>
      <c r="F40" s="56">
        <f>MROUND(IF(TRIM(T40)="ATHE", D40*0.75, IF(TRIM(T40)="Focus Awards", D40*0.6, D40*0.7)) + 1, 10) - 1</f>
        <v>1249</v>
      </c>
      <c r="G40" s="22">
        <f t="shared" si="0"/>
        <v>0.39783001808318263</v>
      </c>
      <c r="H40" s="51">
        <f t="shared" si="1"/>
        <v>0.24713682941531046</v>
      </c>
      <c r="I40" s="23" t="s">
        <v>173</v>
      </c>
      <c r="J40" s="23" t="s">
        <v>92</v>
      </c>
      <c r="K40" s="58">
        <f>MROUND(IF(TRIM(T40)="ATHE", I40*0.75, IF(TRIM(T40)="Focus Awards", I40*0.6, I40*0.7)) + 1, 10) - 1</f>
        <v>1489</v>
      </c>
      <c r="L40" s="61">
        <f t="shared" si="2"/>
        <v>0.40221216691804929</v>
      </c>
      <c r="M40" s="65">
        <f t="shared" si="3"/>
        <v>0.25138260432378079</v>
      </c>
      <c r="N40" s="58">
        <f>ROUND(IF(TRIM(T40)="ATHE", VALUE(SUBSTITUTE(SUBSTITUTE(D40,"£",""),",",""))*0.85, VALUE(SUBSTITUTE(SUBSTITUTE(D40,"£",""),",",""))*0.8), 0)</f>
        <v>1410</v>
      </c>
      <c r="O40" s="65">
        <f t="shared" si="4"/>
        <v>0.15009041591320071</v>
      </c>
      <c r="P40" s="58">
        <f t="shared" si="5"/>
        <v>99</v>
      </c>
      <c r="Q40" s="66">
        <f t="shared" si="6"/>
        <v>146</v>
      </c>
      <c r="R40" s="58">
        <f t="shared" si="7"/>
        <v>143</v>
      </c>
      <c r="S40" s="67">
        <f t="shared" si="8"/>
        <v>9</v>
      </c>
      <c r="T40" s="23" t="s">
        <v>26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 s="6"/>
    </row>
    <row r="41" spans="1:156" s="1" customFormat="1">
      <c r="A41" s="23">
        <v>40</v>
      </c>
      <c r="B41" s="18" t="s">
        <v>174</v>
      </c>
      <c r="C41" s="19" t="s">
        <v>175</v>
      </c>
      <c r="D41" s="23" t="s">
        <v>133</v>
      </c>
      <c r="E41" s="24" t="s">
        <v>134</v>
      </c>
      <c r="F41" s="56">
        <f>MROUND(IF(TRIM(T41)="ATHE", D41*0.75, IF(TRIM(T41)="Focus Awards", D41*0.6, D41*0.7)) + 1, 10) - 1</f>
        <v>1279</v>
      </c>
      <c r="G41" s="22">
        <f t="shared" si="0"/>
        <v>0.40023543260741612</v>
      </c>
      <c r="H41" s="51">
        <f t="shared" si="1"/>
        <v>0.24720423778693346</v>
      </c>
      <c r="I41" s="23" t="s">
        <v>135</v>
      </c>
      <c r="J41" s="23" t="s">
        <v>136</v>
      </c>
      <c r="K41" s="58">
        <f>MROUND(IF(TRIM(T41)="ATHE", I41*0.75, IF(TRIM(T41)="Focus Awards", I41*0.6, I41*0.7)) + 1, 10) - 1</f>
        <v>1529</v>
      </c>
      <c r="L41" s="61">
        <f t="shared" si="2"/>
        <v>0.40215792054928889</v>
      </c>
      <c r="M41" s="65">
        <f t="shared" si="3"/>
        <v>0.2501226091221187</v>
      </c>
      <c r="N41" s="58">
        <f>ROUND(IF(TRIM(T41)="ATHE", VALUE(SUBSTITUTE(SUBSTITUTE(D41,"£",""),",",""))*0.85, VALUE(SUBSTITUTE(SUBSTITUTE(D41,"£",""),",",""))*0.8), 0)</f>
        <v>1444</v>
      </c>
      <c r="O41" s="65">
        <f t="shared" si="4"/>
        <v>0.150088287227781</v>
      </c>
      <c r="P41" s="58">
        <f t="shared" si="5"/>
        <v>99</v>
      </c>
      <c r="Q41" s="66">
        <f t="shared" si="6"/>
        <v>150</v>
      </c>
      <c r="R41" s="58">
        <f t="shared" si="7"/>
        <v>145</v>
      </c>
      <c r="S41" s="67">
        <f t="shared" si="8"/>
        <v>9</v>
      </c>
      <c r="T41" s="23" t="s">
        <v>26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 s="6"/>
    </row>
    <row r="42" spans="1:156" s="1" customFormat="1">
      <c r="A42" s="17">
        <v>41</v>
      </c>
      <c r="B42" s="18" t="s">
        <v>176</v>
      </c>
      <c r="C42" s="19" t="s">
        <v>177</v>
      </c>
      <c r="D42" s="23" t="s">
        <v>121</v>
      </c>
      <c r="E42" s="24" t="s">
        <v>122</v>
      </c>
      <c r="F42" s="56">
        <f>MROUND(IF(TRIM(T42)="ATHE", D42*0.75, IF(TRIM(T42)="Focus Awards", D42*0.6, D42*0.7)) + 1, 10) - 1</f>
        <v>1499</v>
      </c>
      <c r="G42" s="22">
        <f t="shared" si="0"/>
        <v>0.40020010005002504</v>
      </c>
      <c r="H42" s="51">
        <f t="shared" si="1"/>
        <v>0.25012506253126565</v>
      </c>
      <c r="I42" s="23" t="s">
        <v>123</v>
      </c>
      <c r="J42" s="23" t="s">
        <v>124</v>
      </c>
      <c r="K42" s="58">
        <f>MROUND(IF(TRIM(T42)="ATHE", I42*0.75, IF(TRIM(T42)="Focus Awards", I42*0.6, I42*0.7)) + 1, 10) - 1</f>
        <v>1799</v>
      </c>
      <c r="L42" s="61">
        <f t="shared" si="2"/>
        <v>0.40016673614005838</v>
      </c>
      <c r="M42" s="65">
        <f t="shared" si="3"/>
        <v>0.25010421008753647</v>
      </c>
      <c r="N42" s="58">
        <f>ROUND(IF(TRIM(T42)="ATHE", VALUE(SUBSTITUTE(SUBSTITUTE(D42,"£",""),",",""))*0.85, VALUE(SUBSTITUTE(SUBSTITUTE(D42,"£",""),",",""))*0.8), 0)</f>
        <v>1699</v>
      </c>
      <c r="O42" s="65">
        <f t="shared" si="4"/>
        <v>0.15007503751875939</v>
      </c>
      <c r="P42" s="58">
        <f t="shared" si="5"/>
        <v>99</v>
      </c>
      <c r="Q42" s="66">
        <f t="shared" si="6"/>
        <v>178</v>
      </c>
      <c r="R42" s="58">
        <f t="shared" si="7"/>
        <v>176</v>
      </c>
      <c r="S42" s="67">
        <f t="shared" si="8"/>
        <v>9</v>
      </c>
      <c r="T42" s="23" t="s">
        <v>26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 s="6"/>
    </row>
    <row r="43" spans="1:156" s="1" customFormat="1" ht="29.45">
      <c r="A43" s="23">
        <v>42</v>
      </c>
      <c r="B43" s="18" t="s">
        <v>178</v>
      </c>
      <c r="C43" s="19" t="s">
        <v>179</v>
      </c>
      <c r="D43" s="23" t="s">
        <v>180</v>
      </c>
      <c r="E43" s="24" t="s">
        <v>181</v>
      </c>
      <c r="F43" s="56">
        <f>MROUND(IF(TRIM(T43)="ATHE", D43*0.75, IF(TRIM(T43)="Focus Awards", D43*0.6, D43*0.7)) + 1, 10) - 1</f>
        <v>1429</v>
      </c>
      <c r="G43" s="22">
        <f t="shared" si="0"/>
        <v>0.40021063717746186</v>
      </c>
      <c r="H43" s="51">
        <f t="shared" si="1"/>
        <v>0.24749868351764082</v>
      </c>
      <c r="I43" s="23" t="s">
        <v>182</v>
      </c>
      <c r="J43" s="23" t="s">
        <v>183</v>
      </c>
      <c r="K43" s="58">
        <f>MROUND(IF(TRIM(T43)="ATHE", I43*0.75, IF(TRIM(T43)="Focus Awards", I43*0.6, I43*0.7)) + 1, 10) - 1</f>
        <v>1709</v>
      </c>
      <c r="L43" s="61">
        <f t="shared" si="2"/>
        <v>0.3992979376919702</v>
      </c>
      <c r="M43" s="65">
        <f t="shared" si="3"/>
        <v>0.2501096972356297</v>
      </c>
      <c r="N43" s="58">
        <f>ROUND(IF(TRIM(T43)="ATHE", VALUE(SUBSTITUTE(SUBSTITUTE(D43,"£",""),",",""))*0.85, VALUE(SUBSTITUTE(SUBSTITUTE(D43,"£",""),",",""))*0.8), 0)</f>
        <v>1614</v>
      </c>
      <c r="O43" s="65">
        <f t="shared" si="4"/>
        <v>0.15007898894154814</v>
      </c>
      <c r="P43" s="58">
        <f t="shared" si="5"/>
        <v>99</v>
      </c>
      <c r="Q43" s="66">
        <f t="shared" si="6"/>
        <v>169</v>
      </c>
      <c r="R43" s="58">
        <f t="shared" si="7"/>
        <v>163</v>
      </c>
      <c r="S43" s="67">
        <f t="shared" si="8"/>
        <v>9</v>
      </c>
      <c r="T43" s="23" t="s">
        <v>26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 s="6"/>
    </row>
    <row r="44" spans="1:156" s="1" customFormat="1" ht="29.45">
      <c r="A44" s="17">
        <v>43</v>
      </c>
      <c r="B44" s="18" t="s">
        <v>184</v>
      </c>
      <c r="C44" s="19" t="s">
        <v>185</v>
      </c>
      <c r="D44" s="23" t="s">
        <v>163</v>
      </c>
      <c r="E44" s="24" t="s">
        <v>164</v>
      </c>
      <c r="F44" s="56">
        <f>MROUND(IF(TRIM(T44)="ATHE", D44*0.75, IF(TRIM(T44)="Focus Awards", D44*0.6, D44*0.7)) + 1, 10) - 1</f>
        <v>1649</v>
      </c>
      <c r="G44" s="22">
        <f t="shared" si="0"/>
        <v>0.40018190086402905</v>
      </c>
      <c r="H44" s="51">
        <f t="shared" si="1"/>
        <v>0.25011368804001821</v>
      </c>
      <c r="I44" s="23" t="s">
        <v>165</v>
      </c>
      <c r="J44" s="23" t="s">
        <v>166</v>
      </c>
      <c r="K44" s="58">
        <f>MROUND(IF(TRIM(T44)="ATHE", I44*0.75, IF(TRIM(T44)="Focus Awards", I44*0.6, I44*0.7)) + 1, 10) - 1</f>
        <v>1979</v>
      </c>
      <c r="L44" s="61">
        <f t="shared" si="2"/>
        <v>0.40166729821902236</v>
      </c>
      <c r="M44" s="65">
        <f t="shared" si="3"/>
        <v>0.2500947328533536</v>
      </c>
      <c r="N44" s="58">
        <f>ROUND(IF(TRIM(T44)="ATHE", VALUE(SUBSTITUTE(SUBSTITUTE(D44,"£",""),",",""))*0.85, VALUE(SUBSTITUTE(SUBSTITUTE(D44,"£",""),",",""))*0.8), 0)</f>
        <v>1869</v>
      </c>
      <c r="O44" s="65">
        <f t="shared" si="4"/>
        <v>0.15006821282401095</v>
      </c>
      <c r="P44" s="58">
        <f t="shared" si="5"/>
        <v>99</v>
      </c>
      <c r="Q44" s="66">
        <f t="shared" si="6"/>
        <v>197</v>
      </c>
      <c r="R44" s="58">
        <f t="shared" si="7"/>
        <v>194</v>
      </c>
      <c r="S44" s="67">
        <f t="shared" si="8"/>
        <v>9</v>
      </c>
      <c r="T44" s="23" t="s">
        <v>26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 s="6"/>
    </row>
    <row r="45" spans="1:156" s="1" customFormat="1" ht="29.45">
      <c r="A45" s="23">
        <v>44</v>
      </c>
      <c r="B45" s="18" t="s">
        <v>186</v>
      </c>
      <c r="C45" s="19" t="s">
        <v>187</v>
      </c>
      <c r="D45" s="23" t="s">
        <v>163</v>
      </c>
      <c r="E45" s="24" t="s">
        <v>164</v>
      </c>
      <c r="F45" s="56">
        <f>MROUND(IF(TRIM(T45)="ATHE", D45*0.75, IF(TRIM(T45)="Focus Awards", D45*0.6, D45*0.7)) + 1, 10) - 1</f>
        <v>1649</v>
      </c>
      <c r="G45" s="22">
        <f t="shared" si="0"/>
        <v>0.40018190086402905</v>
      </c>
      <c r="H45" s="51">
        <f t="shared" si="1"/>
        <v>0.25011368804001821</v>
      </c>
      <c r="I45" s="23" t="s">
        <v>165</v>
      </c>
      <c r="J45" s="23" t="s">
        <v>166</v>
      </c>
      <c r="K45" s="58">
        <f>MROUND(IF(TRIM(T45)="ATHE", I45*0.75, IF(TRIM(T45)="Focus Awards", I45*0.6, I45*0.7)) + 1, 10) - 1</f>
        <v>1979</v>
      </c>
      <c r="L45" s="61">
        <f t="shared" si="2"/>
        <v>0.40166729821902236</v>
      </c>
      <c r="M45" s="65">
        <f t="shared" si="3"/>
        <v>0.2500947328533536</v>
      </c>
      <c r="N45" s="58">
        <f>ROUND(IF(TRIM(T45)="ATHE", VALUE(SUBSTITUTE(SUBSTITUTE(D45,"£",""),",",""))*0.85, VALUE(SUBSTITUTE(SUBSTITUTE(D45,"£",""),",",""))*0.8), 0)</f>
        <v>1869</v>
      </c>
      <c r="O45" s="65">
        <f t="shared" si="4"/>
        <v>0.15006821282401095</v>
      </c>
      <c r="P45" s="58">
        <f t="shared" si="5"/>
        <v>99</v>
      </c>
      <c r="Q45" s="66">
        <f t="shared" si="6"/>
        <v>197</v>
      </c>
      <c r="R45" s="58">
        <f t="shared" si="7"/>
        <v>194</v>
      </c>
      <c r="S45" s="67">
        <f t="shared" si="8"/>
        <v>9</v>
      </c>
      <c r="T45" s="23" t="s">
        <v>26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 s="6"/>
    </row>
    <row r="46" spans="1:156" s="1" customFormat="1">
      <c r="A46" s="17">
        <v>45</v>
      </c>
      <c r="B46" s="18" t="s">
        <v>188</v>
      </c>
      <c r="C46" s="19" t="s">
        <v>189</v>
      </c>
      <c r="D46" s="23" t="s">
        <v>190</v>
      </c>
      <c r="E46" s="24" t="s">
        <v>191</v>
      </c>
      <c r="F46" s="56">
        <f>MROUND(IF(TRIM(T46)="ATHE", D46*0.75, IF(TRIM(T46)="Focus Awards", D46*0.6, D46*0.7)) + 1, 10) - 1</f>
        <v>1729</v>
      </c>
      <c r="G46" s="22">
        <f t="shared" si="0"/>
        <v>0.40017398869073506</v>
      </c>
      <c r="H46" s="51">
        <f t="shared" si="1"/>
        <v>0.24793388429752061</v>
      </c>
      <c r="I46" s="23" t="s">
        <v>192</v>
      </c>
      <c r="J46" s="23" t="s">
        <v>193</v>
      </c>
      <c r="K46" s="58">
        <f>MROUND(IF(TRIM(T46)="ATHE", I46*0.75, IF(TRIM(T46)="Focus Awards", I46*0.6, I46*0.7)) + 1, 10) - 1</f>
        <v>2069</v>
      </c>
      <c r="L46" s="61">
        <f t="shared" si="2"/>
        <v>0.39869517941283072</v>
      </c>
      <c r="M46" s="65">
        <f t="shared" si="3"/>
        <v>0.25009061254077569</v>
      </c>
      <c r="N46" s="58">
        <f>ROUND(IF(TRIM(T46)="ATHE", VALUE(SUBSTITUTE(SUBSTITUTE(D46,"£",""),",",""))*0.85, VALUE(SUBSTITUTE(SUBSTITUTE(D46,"£",""),",",""))*0.8), 0)</f>
        <v>1954</v>
      </c>
      <c r="O46" s="65">
        <f t="shared" si="4"/>
        <v>0.15006524575902569</v>
      </c>
      <c r="P46" s="58">
        <f t="shared" si="5"/>
        <v>99</v>
      </c>
      <c r="Q46" s="66">
        <f t="shared" si="6"/>
        <v>207</v>
      </c>
      <c r="R46" s="58">
        <f t="shared" si="7"/>
        <v>199</v>
      </c>
      <c r="S46" s="67">
        <f t="shared" si="8"/>
        <v>9</v>
      </c>
      <c r="T46" s="23" t="s">
        <v>26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 s="6"/>
    </row>
    <row r="47" spans="1:156" s="1" customFormat="1" ht="29.45">
      <c r="A47" s="23">
        <v>46</v>
      </c>
      <c r="B47" s="18" t="s">
        <v>194</v>
      </c>
      <c r="C47" s="19" t="s">
        <v>195</v>
      </c>
      <c r="D47" s="23" t="s">
        <v>196</v>
      </c>
      <c r="E47" s="24" t="s">
        <v>197</v>
      </c>
      <c r="F47" s="56">
        <f>MROUND(IF(TRIM(T47)="ATHE", D47*0.75, IF(TRIM(T47)="Focus Awards", D47*0.6, D47*0.7)) + 1, 10) - 1</f>
        <v>1799</v>
      </c>
      <c r="G47" s="22">
        <f t="shared" si="0"/>
        <v>0.40016673614005838</v>
      </c>
      <c r="H47" s="51">
        <f t="shared" si="1"/>
        <v>0.25010421008753647</v>
      </c>
      <c r="I47" s="23" t="s">
        <v>198</v>
      </c>
      <c r="J47" s="23" t="s">
        <v>199</v>
      </c>
      <c r="K47" s="58">
        <f>MROUND(IF(TRIM(T47)="ATHE", I47*0.75, IF(TRIM(T47)="Focus Awards", I47*0.6, I47*0.7)) + 1, 10) - 1</f>
        <v>2159</v>
      </c>
      <c r="L47" s="61">
        <f t="shared" si="2"/>
        <v>0.39944425147620699</v>
      </c>
      <c r="M47" s="65">
        <f t="shared" si="3"/>
        <v>0.25008683570684265</v>
      </c>
      <c r="N47" s="58">
        <f>ROUND(IF(TRIM(T47)="ATHE", VALUE(SUBSTITUTE(SUBSTITUTE(D47,"£",""),",",""))*0.85, VALUE(SUBSTITUTE(SUBSTITUTE(D47,"£",""),",",""))*0.8), 0)</f>
        <v>2039</v>
      </c>
      <c r="O47" s="65">
        <f t="shared" si="4"/>
        <v>0.15006252605252191</v>
      </c>
      <c r="P47" s="58">
        <f t="shared" si="5"/>
        <v>99</v>
      </c>
      <c r="Q47" s="66">
        <f t="shared" si="6"/>
        <v>216</v>
      </c>
      <c r="R47" s="58">
        <f t="shared" si="7"/>
        <v>212</v>
      </c>
      <c r="S47" s="67">
        <f t="shared" si="8"/>
        <v>9</v>
      </c>
      <c r="T47" s="23" t="s">
        <v>26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 s="6"/>
    </row>
    <row r="48" spans="1:156" s="1" customFormat="1" ht="29.45">
      <c r="A48" s="17">
        <v>47</v>
      </c>
      <c r="B48" s="18" t="s">
        <v>200</v>
      </c>
      <c r="C48" s="19" t="s">
        <v>201</v>
      </c>
      <c r="D48" s="23" t="s">
        <v>202</v>
      </c>
      <c r="E48" s="24" t="s">
        <v>203</v>
      </c>
      <c r="F48" s="56">
        <f>MROUND(IF(TRIM(T48)="ATHE", D48*0.75, IF(TRIM(T48)="Focus Awards", D48*0.6, D48*0.7)) + 1, 10) - 1</f>
        <v>1449</v>
      </c>
      <c r="G48" s="22">
        <f t="shared" si="0"/>
        <v>0.39917055469155005</v>
      </c>
      <c r="H48" s="51">
        <f t="shared" si="1"/>
        <v>0.24883359253499227</v>
      </c>
      <c r="I48" s="23" t="s">
        <v>204</v>
      </c>
      <c r="J48" s="23" t="s">
        <v>205</v>
      </c>
      <c r="K48" s="58">
        <f>MROUND(IF(TRIM(T48)="ATHE", I48*0.75, IF(TRIM(T48)="Focus Awards", I48*0.6, I48*0.7)) + 1, 10) - 1</f>
        <v>1739</v>
      </c>
      <c r="L48" s="61">
        <f t="shared" si="2"/>
        <v>0.40103492884864167</v>
      </c>
      <c r="M48" s="65">
        <f t="shared" si="3"/>
        <v>0.25010780508840014</v>
      </c>
      <c r="N48" s="58">
        <f>ROUND(IF(TRIM(T48)="ATHE", VALUE(SUBSTITUTE(SUBSTITUTE(D48,"£",""),",",""))*0.85, VALUE(SUBSTITUTE(SUBSTITUTE(D48,"£",""),",",""))*0.8), 0)</f>
        <v>1640</v>
      </c>
      <c r="O48" s="65">
        <f t="shared" si="4"/>
        <v>0.14981855883877659</v>
      </c>
      <c r="P48" s="58">
        <f t="shared" si="5"/>
        <v>99</v>
      </c>
      <c r="Q48" s="66">
        <f t="shared" si="6"/>
        <v>172</v>
      </c>
      <c r="R48" s="58">
        <f t="shared" si="7"/>
        <v>165</v>
      </c>
      <c r="S48" s="67">
        <f t="shared" si="8"/>
        <v>9</v>
      </c>
      <c r="T48" s="23" t="s">
        <v>26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 s="6"/>
    </row>
    <row r="49" spans="1:156" s="1" customFormat="1">
      <c r="A49" s="23">
        <v>48</v>
      </c>
      <c r="B49" s="18" t="s">
        <v>206</v>
      </c>
      <c r="C49" s="19" t="s">
        <v>207</v>
      </c>
      <c r="D49" s="23" t="s">
        <v>133</v>
      </c>
      <c r="E49" s="24" t="s">
        <v>134</v>
      </c>
      <c r="F49" s="56">
        <f>MROUND(IF(TRIM(T49)="ATHE", D49*0.75, IF(TRIM(T49)="Focus Awards", D49*0.6, D49*0.7)) + 1, 10) - 1</f>
        <v>1279</v>
      </c>
      <c r="G49" s="22">
        <f t="shared" si="0"/>
        <v>0.40023543260741612</v>
      </c>
      <c r="H49" s="51">
        <f t="shared" si="1"/>
        <v>0.24720423778693346</v>
      </c>
      <c r="I49" s="23" t="s">
        <v>135</v>
      </c>
      <c r="J49" s="23" t="s">
        <v>136</v>
      </c>
      <c r="K49" s="58">
        <f>MROUND(IF(TRIM(T49)="ATHE", I49*0.75, IF(TRIM(T49)="Focus Awards", I49*0.6, I49*0.7)) + 1, 10) - 1</f>
        <v>1529</v>
      </c>
      <c r="L49" s="61">
        <f t="shared" si="2"/>
        <v>0.40215792054928889</v>
      </c>
      <c r="M49" s="65">
        <f t="shared" si="3"/>
        <v>0.2501226091221187</v>
      </c>
      <c r="N49" s="58">
        <f>ROUND(IF(TRIM(T49)="ATHE", VALUE(SUBSTITUTE(SUBSTITUTE(D49,"£",""),",",""))*0.85, VALUE(SUBSTITUTE(SUBSTITUTE(D49,"£",""),",",""))*0.8), 0)</f>
        <v>1444</v>
      </c>
      <c r="O49" s="65">
        <f t="shared" si="4"/>
        <v>0.150088287227781</v>
      </c>
      <c r="P49" s="58">
        <f t="shared" si="5"/>
        <v>99</v>
      </c>
      <c r="Q49" s="66">
        <f t="shared" si="6"/>
        <v>150</v>
      </c>
      <c r="R49" s="58">
        <f t="shared" si="7"/>
        <v>145</v>
      </c>
      <c r="S49" s="67">
        <f t="shared" si="8"/>
        <v>9</v>
      </c>
      <c r="T49" s="23" t="s">
        <v>26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 s="6"/>
    </row>
    <row r="50" spans="1:156" s="1" customFormat="1" ht="29.45">
      <c r="A50" s="17">
        <v>49</v>
      </c>
      <c r="B50" s="18" t="s">
        <v>208</v>
      </c>
      <c r="C50" s="19" t="s">
        <v>209</v>
      </c>
      <c r="D50" s="23" t="s">
        <v>210</v>
      </c>
      <c r="E50" s="24" t="s">
        <v>211</v>
      </c>
      <c r="F50" s="56">
        <f>MROUND(IF(TRIM(T50)="ATHE", D50*0.75, IF(TRIM(T50)="Focus Awards", D50*0.6, D50*0.7)) + 1, 10) - 1</f>
        <v>1389</v>
      </c>
      <c r="G50" s="22">
        <f t="shared" si="0"/>
        <v>0.40021633315305571</v>
      </c>
      <c r="H50" s="51">
        <f t="shared" si="1"/>
        <v>0.24878312601406161</v>
      </c>
      <c r="I50" s="23" t="s">
        <v>212</v>
      </c>
      <c r="J50" s="23" t="s">
        <v>213</v>
      </c>
      <c r="K50" s="58">
        <f>MROUND(IF(TRIM(T50)="ATHE", I50*0.75, IF(TRIM(T50)="Focus Awards", I50*0.6, I50*0.7)) + 1, 10) - 1</f>
        <v>1669</v>
      </c>
      <c r="L50" s="61">
        <f t="shared" si="2"/>
        <v>0.40108156827399732</v>
      </c>
      <c r="M50" s="65">
        <f t="shared" si="3"/>
        <v>0.24785939612438035</v>
      </c>
      <c r="N50" s="58">
        <f>ROUND(IF(TRIM(T50)="ATHE", VALUE(SUBSTITUTE(SUBSTITUTE(D50,"£",""),",",""))*0.85, VALUE(SUBSTITUTE(SUBSTITUTE(D50,"£",""),",",""))*0.8), 0)</f>
        <v>1572</v>
      </c>
      <c r="O50" s="65">
        <f t="shared" si="4"/>
        <v>0.14981070849107625</v>
      </c>
      <c r="P50" s="58">
        <f t="shared" si="5"/>
        <v>99</v>
      </c>
      <c r="Q50" s="66">
        <f t="shared" si="6"/>
        <v>164</v>
      </c>
      <c r="R50" s="58">
        <f t="shared" si="7"/>
        <v>161</v>
      </c>
      <c r="S50" s="67">
        <f t="shared" si="8"/>
        <v>9</v>
      </c>
      <c r="T50" s="23" t="s">
        <v>26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 s="6"/>
    </row>
    <row r="51" spans="1:156" s="1" customFormat="1" ht="29.45">
      <c r="A51" s="23">
        <v>50</v>
      </c>
      <c r="B51" s="18" t="s">
        <v>214</v>
      </c>
      <c r="C51" s="19" t="s">
        <v>215</v>
      </c>
      <c r="D51" s="23" t="s">
        <v>115</v>
      </c>
      <c r="E51" s="24" t="s">
        <v>116</v>
      </c>
      <c r="F51" s="56">
        <f>MROUND(IF(TRIM(T51)="ATHE", D51*0.75, IF(TRIM(T51)="Focus Awards", D51*0.6, D51*0.7)) + 1, 10) - 1</f>
        <v>1349</v>
      </c>
      <c r="G51" s="22">
        <f t="shared" si="0"/>
        <v>0.4002223457476376</v>
      </c>
      <c r="H51" s="51">
        <f t="shared" si="1"/>
        <v>0.25013896609227348</v>
      </c>
      <c r="I51" s="23" t="s">
        <v>117</v>
      </c>
      <c r="J51" s="23" t="s">
        <v>118</v>
      </c>
      <c r="K51" s="58">
        <f>MROUND(IF(TRIM(T51)="ATHE", I51*0.75, IF(TRIM(T51)="Focus Awards", I51*0.6, I51*0.7)) + 1, 10) - 1</f>
        <v>1619</v>
      </c>
      <c r="L51" s="61">
        <f t="shared" si="2"/>
        <v>0.39833256137100514</v>
      </c>
      <c r="M51" s="65">
        <f t="shared" si="3"/>
        <v>0.25011579434923581</v>
      </c>
      <c r="N51" s="58">
        <f>ROUND(IF(TRIM(T51)="ATHE", VALUE(SUBSTITUTE(SUBSTITUTE(D51,"£",""),",",""))*0.85, VALUE(SUBSTITUTE(SUBSTITUTE(D51,"£",""),",",""))*0.8), 0)</f>
        <v>1529</v>
      </c>
      <c r="O51" s="65">
        <f t="shared" si="4"/>
        <v>0.15008337965536411</v>
      </c>
      <c r="P51" s="58">
        <f t="shared" si="5"/>
        <v>99</v>
      </c>
      <c r="Q51" s="66">
        <f t="shared" si="6"/>
        <v>159</v>
      </c>
      <c r="R51" s="58">
        <f t="shared" si="7"/>
        <v>158</v>
      </c>
      <c r="S51" s="67">
        <f t="shared" si="8"/>
        <v>9</v>
      </c>
      <c r="T51" s="23" t="s">
        <v>26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 s="6"/>
    </row>
    <row r="52" spans="1:156" s="1" customFormat="1" ht="29.45">
      <c r="A52" s="17">
        <v>51</v>
      </c>
      <c r="B52" s="18" t="s">
        <v>216</v>
      </c>
      <c r="C52" s="19" t="s">
        <v>217</v>
      </c>
      <c r="D52" s="23" t="s">
        <v>73</v>
      </c>
      <c r="E52" s="24" t="s">
        <v>74</v>
      </c>
      <c r="F52" s="56">
        <f>MROUND(IF(TRIM(T52)="ATHE", D52*0.75, IF(TRIM(T52)="Focus Awards", D52*0.6, D52*0.7)) + 1, 10) - 1</f>
        <v>859</v>
      </c>
      <c r="G52" s="22">
        <f t="shared" si="0"/>
        <v>0.4003481288076588</v>
      </c>
      <c r="H52" s="51">
        <f t="shared" si="1"/>
        <v>0.25239338555265445</v>
      </c>
      <c r="I52" s="23" t="s">
        <v>75</v>
      </c>
      <c r="J52" s="23" t="s">
        <v>76</v>
      </c>
      <c r="K52" s="58">
        <f>MROUND(IF(TRIM(T52)="ATHE", I52*0.75, IF(TRIM(T52)="Focus Awards", I52*0.6, I52*0.7)) + 1, 10) - 1</f>
        <v>1039</v>
      </c>
      <c r="L52" s="61">
        <f t="shared" si="2"/>
        <v>0.39883973894126179</v>
      </c>
      <c r="M52" s="65">
        <f t="shared" si="3"/>
        <v>0.24655547498187091</v>
      </c>
      <c r="N52" s="58">
        <f>ROUND(IF(TRIM(T52)="ATHE", VALUE(SUBSTITUTE(SUBSTITUTE(D52,"£",""),",",""))*0.85, VALUE(SUBSTITUTE(SUBSTITUTE(D52,"£",""),",",""))*0.8), 0)</f>
        <v>977</v>
      </c>
      <c r="O52" s="65">
        <f t="shared" si="4"/>
        <v>0.14969538729329857</v>
      </c>
      <c r="P52" s="58">
        <f t="shared" si="5"/>
        <v>99</v>
      </c>
      <c r="Q52" s="66">
        <f t="shared" si="6"/>
        <v>98</v>
      </c>
      <c r="R52" s="58">
        <f t="shared" si="7"/>
        <v>94</v>
      </c>
      <c r="S52" s="67">
        <f t="shared" si="8"/>
        <v>9</v>
      </c>
      <c r="T52" s="23" t="s">
        <v>26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 s="6"/>
    </row>
    <row r="53" spans="1:156" s="1" customFormat="1" ht="29.45">
      <c r="A53" s="23">
        <v>52</v>
      </c>
      <c r="B53" s="18" t="s">
        <v>218</v>
      </c>
      <c r="C53" s="19" t="s">
        <v>219</v>
      </c>
      <c r="D53" s="23" t="s">
        <v>172</v>
      </c>
      <c r="E53" s="24" t="s">
        <v>50</v>
      </c>
      <c r="F53" s="56">
        <f>MROUND(IF(TRIM(T53)="ATHE", D53*0.75, IF(TRIM(T53)="Focus Awards", D53*0.6, D53*0.7)) + 1, 10) - 1</f>
        <v>749</v>
      </c>
      <c r="G53" s="22">
        <f t="shared" si="0"/>
        <v>0.40040040040040037</v>
      </c>
      <c r="H53" s="51">
        <f t="shared" si="1"/>
        <v>0.25025025025025027</v>
      </c>
      <c r="I53" s="23" t="s">
        <v>220</v>
      </c>
      <c r="J53" s="23" t="s">
        <v>221</v>
      </c>
      <c r="K53" s="58">
        <f>MROUND(IF(TRIM(T53)="ATHE", I53*0.75, IF(TRIM(T53)="Focus Awards", I53*0.6, I53*0.7)) + 1, 10) - 1</f>
        <v>899</v>
      </c>
      <c r="L53" s="61">
        <f t="shared" si="2"/>
        <v>0.40033361134278567</v>
      </c>
      <c r="M53" s="65">
        <f t="shared" si="3"/>
        <v>0.25020850708924103</v>
      </c>
      <c r="N53" s="58">
        <f>ROUND(IF(TRIM(T53)="ATHE", VALUE(SUBSTITUTE(SUBSTITUTE(D53,"£",""),",",""))*0.85, VALUE(SUBSTITUTE(SUBSTITUTE(D53,"£",""),",",""))*0.8), 0)</f>
        <v>849</v>
      </c>
      <c r="O53" s="65">
        <f t="shared" si="4"/>
        <v>0.1501501501501501</v>
      </c>
      <c r="P53" s="58">
        <f t="shared" si="5"/>
        <v>99</v>
      </c>
      <c r="Q53" s="66">
        <f t="shared" si="6"/>
        <v>84</v>
      </c>
      <c r="R53" s="58">
        <f t="shared" si="7"/>
        <v>78</v>
      </c>
      <c r="S53" s="67">
        <f t="shared" si="8"/>
        <v>9</v>
      </c>
      <c r="T53" s="23" t="s">
        <v>26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 s="6"/>
    </row>
    <row r="54" spans="1:156" s="1" customFormat="1">
      <c r="A54" s="17">
        <v>53</v>
      </c>
      <c r="B54" s="18" t="s">
        <v>222</v>
      </c>
      <c r="C54" s="19" t="s">
        <v>223</v>
      </c>
      <c r="D54" s="23" t="s">
        <v>73</v>
      </c>
      <c r="E54" s="24" t="s">
        <v>74</v>
      </c>
      <c r="F54" s="56">
        <f>MROUND(IF(TRIM(T54)="ATHE", D54*0.75, IF(TRIM(T54)="Focus Awards", D54*0.6, D54*0.7)) + 1, 10) - 1</f>
        <v>859</v>
      </c>
      <c r="G54" s="22">
        <f t="shared" si="0"/>
        <v>0.4003481288076588</v>
      </c>
      <c r="H54" s="51">
        <f t="shared" si="1"/>
        <v>0.25239338555265445</v>
      </c>
      <c r="I54" s="23" t="s">
        <v>75</v>
      </c>
      <c r="J54" s="23" t="s">
        <v>76</v>
      </c>
      <c r="K54" s="58">
        <f>MROUND(IF(TRIM(T54)="ATHE", I54*0.75, IF(TRIM(T54)="Focus Awards", I54*0.6, I54*0.7)) + 1, 10) - 1</f>
        <v>1039</v>
      </c>
      <c r="L54" s="61">
        <f t="shared" si="2"/>
        <v>0.39883973894126179</v>
      </c>
      <c r="M54" s="65">
        <f t="shared" si="3"/>
        <v>0.24655547498187091</v>
      </c>
      <c r="N54" s="58">
        <f>ROUND(IF(TRIM(T54)="ATHE", VALUE(SUBSTITUTE(SUBSTITUTE(D54,"£",""),",",""))*0.85, VALUE(SUBSTITUTE(SUBSTITUTE(D54,"£",""),",",""))*0.8), 0)</f>
        <v>977</v>
      </c>
      <c r="O54" s="65">
        <f t="shared" si="4"/>
        <v>0.14969538729329857</v>
      </c>
      <c r="P54" s="58">
        <f t="shared" si="5"/>
        <v>99</v>
      </c>
      <c r="Q54" s="66">
        <f t="shared" si="6"/>
        <v>98</v>
      </c>
      <c r="R54" s="58">
        <f t="shared" si="7"/>
        <v>94</v>
      </c>
      <c r="S54" s="67">
        <f t="shared" si="8"/>
        <v>9</v>
      </c>
      <c r="T54" s="23" t="s">
        <v>26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 s="6"/>
    </row>
    <row r="55" spans="1:156" s="1" customFormat="1">
      <c r="A55" s="23">
        <v>54</v>
      </c>
      <c r="B55" s="18" t="s">
        <v>224</v>
      </c>
      <c r="C55" s="19" t="s">
        <v>225</v>
      </c>
      <c r="D55" s="23" t="s">
        <v>100</v>
      </c>
      <c r="E55" s="24" t="s">
        <v>226</v>
      </c>
      <c r="F55" s="56">
        <f>MROUND(IF(TRIM(T55)="ATHE", D55*0.75, IF(TRIM(T55)="Focus Awards", D55*0.6, D55*0.7)) + 1, 10) - 1</f>
        <v>719</v>
      </c>
      <c r="G55" s="22">
        <f t="shared" si="0"/>
        <v>0.40667361835245042</v>
      </c>
      <c r="H55" s="51">
        <f t="shared" si="1"/>
        <v>0.25026068821689262</v>
      </c>
      <c r="I55" s="23" t="s">
        <v>102</v>
      </c>
      <c r="J55" s="23" t="s">
        <v>74</v>
      </c>
      <c r="K55" s="58">
        <f>MROUND(IF(TRIM(T55)="ATHE", I55*0.75, IF(TRIM(T55)="Focus Awards", I55*0.6, I55*0.7)) + 1, 10) - 1</f>
        <v>859</v>
      </c>
      <c r="L55" s="61">
        <f t="shared" si="2"/>
        <v>0.4003481288076588</v>
      </c>
      <c r="M55" s="65">
        <f t="shared" si="3"/>
        <v>0.25239338555265445</v>
      </c>
      <c r="N55" s="58">
        <f>ROUND(IF(TRIM(T55)="ATHE", VALUE(SUBSTITUTE(SUBSTITUTE(D55,"£",""),",",""))*0.85, VALUE(SUBSTITUTE(SUBSTITUTE(D55,"£",""),",",""))*0.8), 0)</f>
        <v>815</v>
      </c>
      <c r="O55" s="65">
        <f t="shared" si="4"/>
        <v>0.1501564129301356</v>
      </c>
      <c r="P55" s="58">
        <f t="shared" si="5"/>
        <v>99</v>
      </c>
      <c r="Q55" s="66">
        <f t="shared" si="6"/>
        <v>80</v>
      </c>
      <c r="R55" s="58">
        <f t="shared" si="7"/>
        <v>76</v>
      </c>
      <c r="S55" s="67">
        <f t="shared" si="8"/>
        <v>9</v>
      </c>
      <c r="T55" s="23" t="s">
        <v>26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 s="6"/>
    </row>
    <row r="56" spans="1:156" s="1" customFormat="1" ht="29.45">
      <c r="A56" s="17">
        <v>55</v>
      </c>
      <c r="B56" s="18" t="s">
        <v>227</v>
      </c>
      <c r="C56" s="19" t="s">
        <v>228</v>
      </c>
      <c r="D56" s="23" t="s">
        <v>133</v>
      </c>
      <c r="E56" s="24" t="s">
        <v>134</v>
      </c>
      <c r="F56" s="56">
        <f>MROUND(IF(TRIM(T56)="ATHE", D56*0.75, IF(TRIM(T56)="Focus Awards", D56*0.6, D56*0.7)) + 1, 10) - 1</f>
        <v>1279</v>
      </c>
      <c r="G56" s="22">
        <f t="shared" si="0"/>
        <v>0.40023543260741612</v>
      </c>
      <c r="H56" s="51">
        <f t="shared" si="1"/>
        <v>0.24720423778693346</v>
      </c>
      <c r="I56" s="23" t="s">
        <v>135</v>
      </c>
      <c r="J56" s="23" t="s">
        <v>136</v>
      </c>
      <c r="K56" s="58">
        <f>MROUND(IF(TRIM(T56)="ATHE", I56*0.75, IF(TRIM(T56)="Focus Awards", I56*0.6, I56*0.7)) + 1, 10) - 1</f>
        <v>1529</v>
      </c>
      <c r="L56" s="61">
        <f t="shared" si="2"/>
        <v>0.40215792054928889</v>
      </c>
      <c r="M56" s="65">
        <f t="shared" si="3"/>
        <v>0.2501226091221187</v>
      </c>
      <c r="N56" s="58">
        <f>ROUND(IF(TRIM(T56)="ATHE", VALUE(SUBSTITUTE(SUBSTITUTE(D56,"£",""),",",""))*0.85, VALUE(SUBSTITUTE(SUBSTITUTE(D56,"£",""),",",""))*0.8), 0)</f>
        <v>1444</v>
      </c>
      <c r="O56" s="65">
        <f t="shared" si="4"/>
        <v>0.150088287227781</v>
      </c>
      <c r="P56" s="58">
        <f t="shared" si="5"/>
        <v>99</v>
      </c>
      <c r="Q56" s="66">
        <f t="shared" si="6"/>
        <v>150</v>
      </c>
      <c r="R56" s="58">
        <f t="shared" si="7"/>
        <v>145</v>
      </c>
      <c r="S56" s="67">
        <f t="shared" si="8"/>
        <v>9</v>
      </c>
      <c r="T56" s="23" t="s">
        <v>26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 s="6"/>
    </row>
    <row r="57" spans="1:156" s="1" customFormat="1" ht="29.45">
      <c r="A57" s="23">
        <v>56</v>
      </c>
      <c r="B57" s="18" t="s">
        <v>229</v>
      </c>
      <c r="C57" s="19" t="s">
        <v>230</v>
      </c>
      <c r="D57" s="23" t="s">
        <v>133</v>
      </c>
      <c r="E57" s="24" t="s">
        <v>134</v>
      </c>
      <c r="F57" s="56">
        <f>MROUND(IF(TRIM(T57)="ATHE", D57*0.75, IF(TRIM(T57)="Focus Awards", D57*0.6, D57*0.7)) + 1, 10) - 1</f>
        <v>1279</v>
      </c>
      <c r="G57" s="22">
        <f t="shared" si="0"/>
        <v>0.40023543260741612</v>
      </c>
      <c r="H57" s="51">
        <f t="shared" si="1"/>
        <v>0.24720423778693346</v>
      </c>
      <c r="I57" s="23" t="s">
        <v>135</v>
      </c>
      <c r="J57" s="23" t="s">
        <v>136</v>
      </c>
      <c r="K57" s="58">
        <f>MROUND(IF(TRIM(T57)="ATHE", I57*0.75, IF(TRIM(T57)="Focus Awards", I57*0.6, I57*0.7)) + 1, 10) - 1</f>
        <v>1529</v>
      </c>
      <c r="L57" s="61">
        <f t="shared" si="2"/>
        <v>0.40215792054928889</v>
      </c>
      <c r="M57" s="65">
        <f t="shared" si="3"/>
        <v>0.2501226091221187</v>
      </c>
      <c r="N57" s="58">
        <f>ROUND(IF(TRIM(T57)="ATHE", VALUE(SUBSTITUTE(SUBSTITUTE(D57,"£",""),",",""))*0.85, VALUE(SUBSTITUTE(SUBSTITUTE(D57,"£",""),",",""))*0.8), 0)</f>
        <v>1444</v>
      </c>
      <c r="O57" s="65">
        <f t="shared" si="4"/>
        <v>0.150088287227781</v>
      </c>
      <c r="P57" s="58">
        <f t="shared" si="5"/>
        <v>99</v>
      </c>
      <c r="Q57" s="66">
        <f t="shared" si="6"/>
        <v>150</v>
      </c>
      <c r="R57" s="58">
        <f t="shared" si="7"/>
        <v>145</v>
      </c>
      <c r="S57" s="67">
        <f t="shared" si="8"/>
        <v>9</v>
      </c>
      <c r="T57" s="23" t="s">
        <v>26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 s="6"/>
    </row>
    <row r="58" spans="1:156" s="1" customFormat="1">
      <c r="A58" s="17">
        <v>57</v>
      </c>
      <c r="B58" s="18" t="s">
        <v>231</v>
      </c>
      <c r="C58" s="19" t="s">
        <v>232</v>
      </c>
      <c r="D58" s="23" t="s">
        <v>99</v>
      </c>
      <c r="E58" s="24" t="s">
        <v>100</v>
      </c>
      <c r="F58" s="56">
        <f>MROUND(IF(TRIM(T58)="ATHE", D58*0.75, IF(TRIM(T58)="Focus Awards", D58*0.6, D58*0.7)) + 1, 10) - 1</f>
        <v>1199</v>
      </c>
      <c r="G58" s="22">
        <f t="shared" si="0"/>
        <v>0.40025015634771732</v>
      </c>
      <c r="H58" s="51">
        <f t="shared" si="1"/>
        <v>0.25015634771732331</v>
      </c>
      <c r="I58" s="23" t="s">
        <v>101</v>
      </c>
      <c r="J58" s="23" t="s">
        <v>102</v>
      </c>
      <c r="K58" s="58">
        <f>MROUND(IF(TRIM(T58)="ATHE", I58*0.75, IF(TRIM(T58)="Focus Awards", I58*0.6, I58*0.7)) + 1, 10) - 1</f>
        <v>1439</v>
      </c>
      <c r="L58" s="61">
        <f t="shared" si="2"/>
        <v>0.40125065138092753</v>
      </c>
      <c r="M58" s="65">
        <f t="shared" si="3"/>
        <v>0.25013027618551331</v>
      </c>
      <c r="N58" s="58">
        <f>ROUND(IF(TRIM(T58)="ATHE", VALUE(SUBSTITUTE(SUBSTITUTE(D58,"£",""),",",""))*0.85, VALUE(SUBSTITUTE(SUBSTITUTE(D58,"£",""),",",""))*0.8), 0)</f>
        <v>1359</v>
      </c>
      <c r="O58" s="65">
        <f t="shared" si="4"/>
        <v>0.15009380863039401</v>
      </c>
      <c r="P58" s="58">
        <f t="shared" si="5"/>
        <v>99</v>
      </c>
      <c r="Q58" s="66">
        <f t="shared" si="6"/>
        <v>140</v>
      </c>
      <c r="R58" s="58">
        <f t="shared" si="7"/>
        <v>140</v>
      </c>
      <c r="S58" s="67">
        <f t="shared" si="8"/>
        <v>9</v>
      </c>
      <c r="T58" s="23" t="s">
        <v>26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 s="6"/>
    </row>
    <row r="59" spans="1:156" s="1" customFormat="1" ht="29.45">
      <c r="A59" s="23">
        <v>58</v>
      </c>
      <c r="B59" s="18" t="s">
        <v>233</v>
      </c>
      <c r="C59" s="19" t="s">
        <v>234</v>
      </c>
      <c r="D59" s="23" t="s">
        <v>133</v>
      </c>
      <c r="E59" s="24" t="s">
        <v>134</v>
      </c>
      <c r="F59" s="56">
        <f>MROUND(IF(TRIM(T59)="ATHE", D59*0.75, IF(TRIM(T59)="Focus Awards", D59*0.6, D59*0.7)) + 1, 10) - 1</f>
        <v>1279</v>
      </c>
      <c r="G59" s="22">
        <f t="shared" si="0"/>
        <v>0.40023543260741612</v>
      </c>
      <c r="H59" s="51">
        <f t="shared" si="1"/>
        <v>0.24720423778693346</v>
      </c>
      <c r="I59" s="23" t="s">
        <v>135</v>
      </c>
      <c r="J59" s="23" t="s">
        <v>136</v>
      </c>
      <c r="K59" s="58">
        <f>MROUND(IF(TRIM(T59)="ATHE", I59*0.75, IF(TRIM(T59)="Focus Awards", I59*0.6, I59*0.7)) + 1, 10) - 1</f>
        <v>1529</v>
      </c>
      <c r="L59" s="61">
        <f t="shared" si="2"/>
        <v>0.40215792054928889</v>
      </c>
      <c r="M59" s="65">
        <f t="shared" si="3"/>
        <v>0.2501226091221187</v>
      </c>
      <c r="N59" s="58">
        <f>ROUND(IF(TRIM(T59)="ATHE", VALUE(SUBSTITUTE(SUBSTITUTE(D59,"£",""),",",""))*0.85, VALUE(SUBSTITUTE(SUBSTITUTE(D59,"£",""),",",""))*0.8), 0)</f>
        <v>1444</v>
      </c>
      <c r="O59" s="65">
        <f t="shared" si="4"/>
        <v>0.150088287227781</v>
      </c>
      <c r="P59" s="58">
        <f t="shared" si="5"/>
        <v>99</v>
      </c>
      <c r="Q59" s="66">
        <f t="shared" si="6"/>
        <v>150</v>
      </c>
      <c r="R59" s="58">
        <f t="shared" si="7"/>
        <v>145</v>
      </c>
      <c r="S59" s="67">
        <f t="shared" si="8"/>
        <v>9</v>
      </c>
      <c r="T59" s="23" t="s">
        <v>26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 s="6"/>
    </row>
    <row r="60" spans="1:156" s="1" customFormat="1" ht="29.45">
      <c r="A60" s="17">
        <v>59</v>
      </c>
      <c r="B60" s="18" t="s">
        <v>235</v>
      </c>
      <c r="C60" s="19" t="s">
        <v>236</v>
      </c>
      <c r="D60" s="23" t="s">
        <v>133</v>
      </c>
      <c r="E60" s="24" t="s">
        <v>134</v>
      </c>
      <c r="F60" s="56">
        <f>MROUND(IF(TRIM(T60)="ATHE", D60*0.75, IF(TRIM(T60)="Focus Awards", D60*0.6, D60*0.7)) + 1, 10) - 1</f>
        <v>1279</v>
      </c>
      <c r="G60" s="22">
        <f t="shared" si="0"/>
        <v>0.40023543260741612</v>
      </c>
      <c r="H60" s="51">
        <f t="shared" si="1"/>
        <v>0.24720423778693346</v>
      </c>
      <c r="I60" s="23" t="s">
        <v>135</v>
      </c>
      <c r="J60" s="23" t="s">
        <v>136</v>
      </c>
      <c r="K60" s="58">
        <f>MROUND(IF(TRIM(T60)="ATHE", I60*0.75, IF(TRIM(T60)="Focus Awards", I60*0.6, I60*0.7)) + 1, 10) - 1</f>
        <v>1529</v>
      </c>
      <c r="L60" s="61">
        <f t="shared" si="2"/>
        <v>0.40215792054928889</v>
      </c>
      <c r="M60" s="65">
        <f t="shared" si="3"/>
        <v>0.2501226091221187</v>
      </c>
      <c r="N60" s="58">
        <f>ROUND(IF(TRIM(T60)="ATHE", VALUE(SUBSTITUTE(SUBSTITUTE(D60,"£",""),",",""))*0.85, VALUE(SUBSTITUTE(SUBSTITUTE(D60,"£",""),",",""))*0.8), 0)</f>
        <v>1444</v>
      </c>
      <c r="O60" s="65">
        <f t="shared" si="4"/>
        <v>0.150088287227781</v>
      </c>
      <c r="P60" s="58">
        <f t="shared" si="5"/>
        <v>99</v>
      </c>
      <c r="Q60" s="66">
        <f t="shared" si="6"/>
        <v>150</v>
      </c>
      <c r="R60" s="58">
        <f t="shared" si="7"/>
        <v>145</v>
      </c>
      <c r="S60" s="67">
        <f t="shared" si="8"/>
        <v>9</v>
      </c>
      <c r="T60" s="23" t="s">
        <v>26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 s="6"/>
    </row>
    <row r="61" spans="1:156" s="1" customFormat="1">
      <c r="A61" s="23">
        <v>60</v>
      </c>
      <c r="B61" s="18" t="s">
        <v>237</v>
      </c>
      <c r="C61" s="19" t="s">
        <v>238</v>
      </c>
      <c r="D61" s="23" t="s">
        <v>133</v>
      </c>
      <c r="E61" s="24" t="s">
        <v>134</v>
      </c>
      <c r="F61" s="56">
        <f>MROUND(IF(TRIM(T61)="ATHE", D61*0.75, IF(TRIM(T61)="Focus Awards", D61*0.6, D61*0.7)) + 1, 10) - 1</f>
        <v>1279</v>
      </c>
      <c r="G61" s="22">
        <f t="shared" si="0"/>
        <v>0.40023543260741612</v>
      </c>
      <c r="H61" s="51">
        <f t="shared" si="1"/>
        <v>0.24720423778693346</v>
      </c>
      <c r="I61" s="23" t="s">
        <v>135</v>
      </c>
      <c r="J61" s="23" t="s">
        <v>136</v>
      </c>
      <c r="K61" s="58">
        <f>MROUND(IF(TRIM(T61)="ATHE", I61*0.75, IF(TRIM(T61)="Focus Awards", I61*0.6, I61*0.7)) + 1, 10) - 1</f>
        <v>1529</v>
      </c>
      <c r="L61" s="61">
        <f t="shared" si="2"/>
        <v>0.40215792054928889</v>
      </c>
      <c r="M61" s="65">
        <f t="shared" si="3"/>
        <v>0.2501226091221187</v>
      </c>
      <c r="N61" s="58">
        <f>ROUND(IF(TRIM(T61)="ATHE", VALUE(SUBSTITUTE(SUBSTITUTE(D61,"£",""),",",""))*0.85, VALUE(SUBSTITUTE(SUBSTITUTE(D61,"£",""),",",""))*0.8), 0)</f>
        <v>1444</v>
      </c>
      <c r="O61" s="65">
        <f t="shared" si="4"/>
        <v>0.150088287227781</v>
      </c>
      <c r="P61" s="58">
        <f t="shared" si="5"/>
        <v>99</v>
      </c>
      <c r="Q61" s="66">
        <f t="shared" si="6"/>
        <v>150</v>
      </c>
      <c r="R61" s="58">
        <f t="shared" si="7"/>
        <v>145</v>
      </c>
      <c r="S61" s="67">
        <f t="shared" si="8"/>
        <v>9</v>
      </c>
      <c r="T61" s="23" t="s">
        <v>26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 s="6"/>
    </row>
    <row r="62" spans="1:156" s="1" customFormat="1" ht="29.45">
      <c r="A62" s="17">
        <v>61</v>
      </c>
      <c r="B62" s="18" t="s">
        <v>239</v>
      </c>
      <c r="C62" s="19" t="s">
        <v>240</v>
      </c>
      <c r="D62" s="23" t="s">
        <v>133</v>
      </c>
      <c r="E62" s="24" t="s">
        <v>134</v>
      </c>
      <c r="F62" s="56">
        <f>MROUND(IF(TRIM(T62)="ATHE", D62*0.75, IF(TRIM(T62)="Focus Awards", D62*0.6, D62*0.7)) + 1, 10) - 1</f>
        <v>1279</v>
      </c>
      <c r="G62" s="22">
        <f t="shared" si="0"/>
        <v>0.40023543260741612</v>
      </c>
      <c r="H62" s="51">
        <f t="shared" si="1"/>
        <v>0.24720423778693346</v>
      </c>
      <c r="I62" s="23" t="s">
        <v>135</v>
      </c>
      <c r="J62" s="23" t="s">
        <v>136</v>
      </c>
      <c r="K62" s="58">
        <f>MROUND(IF(TRIM(T62)="ATHE", I62*0.75, IF(TRIM(T62)="Focus Awards", I62*0.6, I62*0.7)) + 1, 10) - 1</f>
        <v>1529</v>
      </c>
      <c r="L62" s="61">
        <f t="shared" si="2"/>
        <v>0.40215792054928889</v>
      </c>
      <c r="M62" s="65">
        <f t="shared" si="3"/>
        <v>0.2501226091221187</v>
      </c>
      <c r="N62" s="58">
        <f>ROUND(IF(TRIM(T62)="ATHE", VALUE(SUBSTITUTE(SUBSTITUTE(D62,"£",""),",",""))*0.85, VALUE(SUBSTITUTE(SUBSTITUTE(D62,"£",""),",",""))*0.8), 0)</f>
        <v>1444</v>
      </c>
      <c r="O62" s="65">
        <f t="shared" si="4"/>
        <v>0.150088287227781</v>
      </c>
      <c r="P62" s="58">
        <f t="shared" si="5"/>
        <v>99</v>
      </c>
      <c r="Q62" s="66">
        <f t="shared" si="6"/>
        <v>150</v>
      </c>
      <c r="R62" s="58">
        <f t="shared" si="7"/>
        <v>145</v>
      </c>
      <c r="S62" s="67">
        <f t="shared" si="8"/>
        <v>9</v>
      </c>
      <c r="T62" s="23" t="s">
        <v>26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 s="6"/>
    </row>
    <row r="63" spans="1:156" s="1" customFormat="1" ht="29.45">
      <c r="A63" s="23">
        <v>62</v>
      </c>
      <c r="B63" s="18" t="s">
        <v>241</v>
      </c>
      <c r="C63" s="19" t="s">
        <v>242</v>
      </c>
      <c r="D63" s="23" t="s">
        <v>115</v>
      </c>
      <c r="E63" s="24" t="s">
        <v>116</v>
      </c>
      <c r="F63" s="56">
        <f>MROUND(IF(TRIM(T63)="ATHE", D63*0.75, IF(TRIM(T63)="Focus Awards", D63*0.6, D63*0.7)) + 1, 10) - 1</f>
        <v>1349</v>
      </c>
      <c r="G63" s="22">
        <f t="shared" si="0"/>
        <v>0.4002223457476376</v>
      </c>
      <c r="H63" s="51">
        <f t="shared" si="1"/>
        <v>0.25013896609227348</v>
      </c>
      <c r="I63" s="23" t="s">
        <v>117</v>
      </c>
      <c r="J63" s="23" t="s">
        <v>118</v>
      </c>
      <c r="K63" s="58">
        <f>MROUND(IF(TRIM(T63)="ATHE", I63*0.75, IF(TRIM(T63)="Focus Awards", I63*0.6, I63*0.7)) + 1, 10) - 1</f>
        <v>1619</v>
      </c>
      <c r="L63" s="61">
        <f t="shared" si="2"/>
        <v>0.39833256137100514</v>
      </c>
      <c r="M63" s="65">
        <f t="shared" si="3"/>
        <v>0.25011579434923581</v>
      </c>
      <c r="N63" s="58">
        <f>ROUND(IF(TRIM(T63)="ATHE", VALUE(SUBSTITUTE(SUBSTITUTE(D63,"£",""),",",""))*0.85, VALUE(SUBSTITUTE(SUBSTITUTE(D63,"£",""),",",""))*0.8), 0)</f>
        <v>1529</v>
      </c>
      <c r="O63" s="65">
        <f t="shared" si="4"/>
        <v>0.15008337965536411</v>
      </c>
      <c r="P63" s="58">
        <f t="shared" si="5"/>
        <v>99</v>
      </c>
      <c r="Q63" s="66">
        <f t="shared" si="6"/>
        <v>159</v>
      </c>
      <c r="R63" s="58">
        <f t="shared" si="7"/>
        <v>158</v>
      </c>
      <c r="S63" s="67">
        <f t="shared" si="8"/>
        <v>9</v>
      </c>
      <c r="T63" s="23" t="s">
        <v>26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 s="6"/>
    </row>
    <row r="64" spans="1:156" s="1" customFormat="1">
      <c r="A64" s="17">
        <v>63</v>
      </c>
      <c r="B64" s="18" t="s">
        <v>243</v>
      </c>
      <c r="C64" s="19" t="s">
        <v>244</v>
      </c>
      <c r="D64" s="23" t="s">
        <v>127</v>
      </c>
      <c r="E64" s="24" t="s">
        <v>128</v>
      </c>
      <c r="F64" s="56">
        <f>MROUND(IF(TRIM(T64)="ATHE", D64*0.75, IF(TRIM(T64)="Focus Awards", D64*0.6, D64*0.7)) + 1, 10) - 1</f>
        <v>1579</v>
      </c>
      <c r="G64" s="22">
        <f t="shared" si="0"/>
        <v>0.40019056693663646</v>
      </c>
      <c r="H64" s="51">
        <f t="shared" si="1"/>
        <v>0.2477370176274416</v>
      </c>
      <c r="I64" s="23" t="s">
        <v>129</v>
      </c>
      <c r="J64" s="23" t="s">
        <v>130</v>
      </c>
      <c r="K64" s="58">
        <f>MROUND(IF(TRIM(T64)="ATHE", I64*0.75, IF(TRIM(T64)="Focus Awards", I64*0.6, I64*0.7)) + 1, 10) - 1</f>
        <v>1889</v>
      </c>
      <c r="L64" s="61">
        <f t="shared" si="2"/>
        <v>0.40095275903136163</v>
      </c>
      <c r="M64" s="65">
        <f t="shared" si="3"/>
        <v>0.25009924573243347</v>
      </c>
      <c r="N64" s="58">
        <f>ROUND(IF(TRIM(T64)="ATHE", VALUE(SUBSTITUTE(SUBSTITUTE(D64,"£",""),",",""))*0.85, VALUE(SUBSTITUTE(SUBSTITUTE(D64,"£",""),",",""))*0.8), 0)</f>
        <v>1784</v>
      </c>
      <c r="O64" s="65">
        <f t="shared" si="4"/>
        <v>0.15007146260123871</v>
      </c>
      <c r="P64" s="58">
        <f t="shared" si="5"/>
        <v>99</v>
      </c>
      <c r="Q64" s="66">
        <f t="shared" si="6"/>
        <v>188</v>
      </c>
      <c r="R64" s="58">
        <f t="shared" si="7"/>
        <v>181</v>
      </c>
      <c r="S64" s="67">
        <f t="shared" si="8"/>
        <v>9</v>
      </c>
      <c r="T64" s="23" t="s">
        <v>26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 s="6"/>
    </row>
    <row r="65" spans="1:156" s="1" customFormat="1" ht="29.45">
      <c r="A65" s="23">
        <v>64</v>
      </c>
      <c r="B65" s="18" t="s">
        <v>245</v>
      </c>
      <c r="C65" s="19" t="s">
        <v>246</v>
      </c>
      <c r="D65" s="23" t="s">
        <v>115</v>
      </c>
      <c r="E65" s="24" t="s">
        <v>116</v>
      </c>
      <c r="F65" s="56">
        <f>MROUND(IF(TRIM(T65)="ATHE", D65*0.75, IF(TRIM(T65)="Focus Awards", D65*0.6, D65*0.7)) + 1, 10) - 1</f>
        <v>1349</v>
      </c>
      <c r="G65" s="22">
        <f t="shared" si="0"/>
        <v>0.4002223457476376</v>
      </c>
      <c r="H65" s="51">
        <f t="shared" si="1"/>
        <v>0.25013896609227348</v>
      </c>
      <c r="I65" s="23" t="s">
        <v>117</v>
      </c>
      <c r="J65" s="23" t="s">
        <v>118</v>
      </c>
      <c r="K65" s="58">
        <f>MROUND(IF(TRIM(T65)="ATHE", I65*0.75, IF(TRIM(T65)="Focus Awards", I65*0.6, I65*0.7)) + 1, 10) - 1</f>
        <v>1619</v>
      </c>
      <c r="L65" s="61">
        <f t="shared" si="2"/>
        <v>0.39833256137100514</v>
      </c>
      <c r="M65" s="65">
        <f t="shared" si="3"/>
        <v>0.25011579434923581</v>
      </c>
      <c r="N65" s="58">
        <f>ROUND(IF(TRIM(T65)="ATHE", VALUE(SUBSTITUTE(SUBSTITUTE(D65,"£",""),",",""))*0.85, VALUE(SUBSTITUTE(SUBSTITUTE(D65,"£",""),",",""))*0.8), 0)</f>
        <v>1529</v>
      </c>
      <c r="O65" s="65">
        <f t="shared" si="4"/>
        <v>0.15008337965536411</v>
      </c>
      <c r="P65" s="58">
        <f t="shared" si="5"/>
        <v>99</v>
      </c>
      <c r="Q65" s="66">
        <f t="shared" si="6"/>
        <v>159</v>
      </c>
      <c r="R65" s="58">
        <f t="shared" si="7"/>
        <v>158</v>
      </c>
      <c r="S65" s="67">
        <f t="shared" si="8"/>
        <v>9</v>
      </c>
      <c r="T65" s="23" t="s">
        <v>26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 s="6"/>
    </row>
    <row r="66" spans="1:156" s="1" customFormat="1" ht="29.45">
      <c r="A66" s="17">
        <v>65</v>
      </c>
      <c r="B66" s="18" t="s">
        <v>247</v>
      </c>
      <c r="C66" s="19" t="s">
        <v>248</v>
      </c>
      <c r="D66" s="23" t="s">
        <v>115</v>
      </c>
      <c r="E66" s="24" t="s">
        <v>116</v>
      </c>
      <c r="F66" s="56">
        <f>MROUND(IF(TRIM(T66)="ATHE", D66*0.75, IF(TRIM(T66)="Focus Awards", D66*0.6, D66*0.7)) + 1, 10) - 1</f>
        <v>1349</v>
      </c>
      <c r="G66" s="22">
        <f t="shared" si="0"/>
        <v>0.4002223457476376</v>
      </c>
      <c r="H66" s="51">
        <f t="shared" si="1"/>
        <v>0.25013896609227348</v>
      </c>
      <c r="I66" s="23" t="s">
        <v>117</v>
      </c>
      <c r="J66" s="23" t="s">
        <v>118</v>
      </c>
      <c r="K66" s="58">
        <f>MROUND(IF(TRIM(T66)="ATHE", I66*0.75, IF(TRIM(T66)="Focus Awards", I66*0.6, I66*0.7)) + 1, 10) - 1</f>
        <v>1619</v>
      </c>
      <c r="L66" s="61">
        <f t="shared" si="2"/>
        <v>0.39833256137100514</v>
      </c>
      <c r="M66" s="65">
        <f t="shared" si="3"/>
        <v>0.25011579434923581</v>
      </c>
      <c r="N66" s="58">
        <f>ROUND(IF(TRIM(T66)="ATHE", VALUE(SUBSTITUTE(SUBSTITUTE(D66,"£",""),",",""))*0.85, VALUE(SUBSTITUTE(SUBSTITUTE(D66,"£",""),",",""))*0.8), 0)</f>
        <v>1529</v>
      </c>
      <c r="O66" s="65">
        <f t="shared" si="4"/>
        <v>0.15008337965536411</v>
      </c>
      <c r="P66" s="58">
        <f t="shared" si="5"/>
        <v>99</v>
      </c>
      <c r="Q66" s="66">
        <f t="shared" si="6"/>
        <v>159</v>
      </c>
      <c r="R66" s="58">
        <f t="shared" si="7"/>
        <v>158</v>
      </c>
      <c r="S66" s="67">
        <f t="shared" si="8"/>
        <v>9</v>
      </c>
      <c r="T66" s="23" t="s">
        <v>26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 s="6"/>
    </row>
    <row r="67" spans="1:156" s="1" customFormat="1">
      <c r="A67" s="23">
        <v>66</v>
      </c>
      <c r="B67" s="18" t="s">
        <v>249</v>
      </c>
      <c r="C67" s="19" t="s">
        <v>250</v>
      </c>
      <c r="D67" s="23" t="s">
        <v>115</v>
      </c>
      <c r="E67" s="24" t="s">
        <v>116</v>
      </c>
      <c r="F67" s="56">
        <f>MROUND(IF(TRIM(T67)="ATHE", D67*0.75, IF(TRIM(T67)="Focus Awards", D67*0.6, D67*0.7)) + 1, 10) - 1</f>
        <v>1349</v>
      </c>
      <c r="G67" s="22">
        <f t="shared" ref="G67:G130" si="9">1-E67/D67</f>
        <v>0.4002223457476376</v>
      </c>
      <c r="H67" s="51">
        <f t="shared" ref="H67:H130" si="10">1-F67/D67</f>
        <v>0.25013896609227348</v>
      </c>
      <c r="I67" s="23" t="s">
        <v>117</v>
      </c>
      <c r="J67" s="23" t="s">
        <v>118</v>
      </c>
      <c r="K67" s="58">
        <f>MROUND(IF(TRIM(T67)="ATHE", I67*0.75, IF(TRIM(T67)="Focus Awards", I67*0.6, I67*0.7)) + 1, 10) - 1</f>
        <v>1619</v>
      </c>
      <c r="L67" s="61">
        <f t="shared" ref="L67:L130" si="11">1-J67/I67</f>
        <v>0.39833256137100514</v>
      </c>
      <c r="M67" s="65">
        <f t="shared" ref="M67:M130" si="12">1-K67/I67</f>
        <v>0.25011579434923581</v>
      </c>
      <c r="N67" s="58">
        <f>ROUND(IF(TRIM(T67)="ATHE", VALUE(SUBSTITUTE(SUBSTITUTE(D67,"£",""),",",""))*0.85, VALUE(SUBSTITUTE(SUBSTITUTE(D67,"£",""),",",""))*0.8), 0)</f>
        <v>1529</v>
      </c>
      <c r="O67" s="65">
        <f t="shared" ref="O67:O130" si="13">1-N67/D67</f>
        <v>0.15008337965536411</v>
      </c>
      <c r="P67" s="58">
        <f t="shared" ref="P67:P130" si="14">IF(K67&lt;500, 35, 99)</f>
        <v>99</v>
      </c>
      <c r="Q67" s="66">
        <f t="shared" ref="Q67:Q130" si="15">ROUNDUP((N67-P67)/S67, 0)</f>
        <v>159</v>
      </c>
      <c r="R67" s="58">
        <f t="shared" ref="R67:R130" si="16">(N67-P67) - (Q67 * (S67-1))</f>
        <v>158</v>
      </c>
      <c r="S67" s="67">
        <f t="shared" ref="S67:S130" si="17">IF(K67&lt;500, 6, 9)</f>
        <v>9</v>
      </c>
      <c r="T67" s="23" t="s">
        <v>26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 s="6"/>
    </row>
    <row r="68" spans="1:156" s="1" customFormat="1" ht="29.45">
      <c r="A68" s="17">
        <v>67</v>
      </c>
      <c r="B68" s="18" t="s">
        <v>251</v>
      </c>
      <c r="C68" s="19" t="s">
        <v>252</v>
      </c>
      <c r="D68" s="23" t="s">
        <v>115</v>
      </c>
      <c r="E68" s="24" t="s">
        <v>116</v>
      </c>
      <c r="F68" s="56">
        <f>MROUND(IF(TRIM(T68)="ATHE", D68*0.75, IF(TRIM(T68)="Focus Awards", D68*0.6, D68*0.7)) + 1, 10) - 1</f>
        <v>1349</v>
      </c>
      <c r="G68" s="22">
        <f t="shared" si="9"/>
        <v>0.4002223457476376</v>
      </c>
      <c r="H68" s="51">
        <f t="shared" si="10"/>
        <v>0.25013896609227348</v>
      </c>
      <c r="I68" s="23" t="s">
        <v>117</v>
      </c>
      <c r="J68" s="23" t="s">
        <v>118</v>
      </c>
      <c r="K68" s="58">
        <f>MROUND(IF(TRIM(T68)="ATHE", I68*0.75, IF(TRIM(T68)="Focus Awards", I68*0.6, I68*0.7)) + 1, 10) - 1</f>
        <v>1619</v>
      </c>
      <c r="L68" s="61">
        <f t="shared" si="11"/>
        <v>0.39833256137100514</v>
      </c>
      <c r="M68" s="65">
        <f t="shared" si="12"/>
        <v>0.25011579434923581</v>
      </c>
      <c r="N68" s="58">
        <f>ROUND(IF(TRIM(T68)="ATHE", VALUE(SUBSTITUTE(SUBSTITUTE(D68,"£",""),",",""))*0.85, VALUE(SUBSTITUTE(SUBSTITUTE(D68,"£",""),",",""))*0.8), 0)</f>
        <v>1529</v>
      </c>
      <c r="O68" s="65">
        <f t="shared" si="13"/>
        <v>0.15008337965536411</v>
      </c>
      <c r="P68" s="58">
        <f t="shared" si="14"/>
        <v>99</v>
      </c>
      <c r="Q68" s="66">
        <f t="shared" si="15"/>
        <v>159</v>
      </c>
      <c r="R68" s="58">
        <f t="shared" si="16"/>
        <v>158</v>
      </c>
      <c r="S68" s="67">
        <f t="shared" si="17"/>
        <v>9</v>
      </c>
      <c r="T68" s="23" t="s">
        <v>26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 s="6"/>
    </row>
    <row r="69" spans="1:156" s="1" customFormat="1" ht="29.45">
      <c r="A69" s="23">
        <v>68</v>
      </c>
      <c r="B69" s="18" t="s">
        <v>253</v>
      </c>
      <c r="C69" s="19" t="s">
        <v>254</v>
      </c>
      <c r="D69" s="25" t="s">
        <v>255</v>
      </c>
      <c r="E69" s="26" t="s">
        <v>256</v>
      </c>
      <c r="F69" s="56">
        <f>MROUND(IF(TRIM(T69)="ATHE", D69*0.75, IF(TRIM(T69)="Focus Awards", D69*0.6, D69*0.7)) + 1, 10) - 1</f>
        <v>1069</v>
      </c>
      <c r="G69" s="22">
        <f t="shared" si="9"/>
        <v>0.37350246652572239</v>
      </c>
      <c r="H69" s="51">
        <f t="shared" si="10"/>
        <v>0.24665257223396764</v>
      </c>
      <c r="I69" s="25" t="s">
        <v>257</v>
      </c>
      <c r="J69" s="25" t="s">
        <v>258</v>
      </c>
      <c r="K69" s="58">
        <f>MROUND(IF(TRIM(T69)="ATHE", I69*0.75, IF(TRIM(T69)="Focus Awards", I69*0.6, I69*0.7)) + 1, 10) - 1</f>
        <v>1279</v>
      </c>
      <c r="L69" s="61">
        <f t="shared" si="11"/>
        <v>0.40023543260741612</v>
      </c>
      <c r="M69" s="65">
        <f t="shared" si="12"/>
        <v>0.24720423778693346</v>
      </c>
      <c r="N69" s="58">
        <f>ROUND(IF(TRIM(T69)="ATHE", VALUE(SUBSTITUTE(SUBSTITUTE(D69,"£",""),",",""))*0.85, VALUE(SUBSTITUTE(SUBSTITUTE(D69,"£",""),",",""))*0.8), 0)</f>
        <v>1206</v>
      </c>
      <c r="O69" s="65">
        <f t="shared" si="13"/>
        <v>0.15010570824524316</v>
      </c>
      <c r="P69" s="58">
        <f t="shared" si="14"/>
        <v>99</v>
      </c>
      <c r="Q69" s="66">
        <f t="shared" si="15"/>
        <v>123</v>
      </c>
      <c r="R69" s="58">
        <f t="shared" si="16"/>
        <v>123</v>
      </c>
      <c r="S69" s="67">
        <f t="shared" si="17"/>
        <v>9</v>
      </c>
      <c r="T69" s="23" t="s">
        <v>26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 s="6"/>
    </row>
    <row r="70" spans="1:156" s="1" customFormat="1" ht="29.45">
      <c r="A70" s="17">
        <v>69</v>
      </c>
      <c r="B70" s="18" t="s">
        <v>259</v>
      </c>
      <c r="C70" s="19" t="s">
        <v>260</v>
      </c>
      <c r="D70" s="23" t="s">
        <v>110</v>
      </c>
      <c r="E70" s="24" t="s">
        <v>261</v>
      </c>
      <c r="F70" s="56">
        <f>MROUND(IF(TRIM(T70)="ATHE", D70*0.75, IF(TRIM(T70)="Focus Awards", D70*0.6, D70*0.7)) + 1, 10) - 1</f>
        <v>829</v>
      </c>
      <c r="G70" s="22">
        <f t="shared" si="9"/>
        <v>0.40036396724294809</v>
      </c>
      <c r="H70" s="51">
        <f t="shared" si="10"/>
        <v>0.24567788898999088</v>
      </c>
      <c r="I70" s="23" t="s">
        <v>112</v>
      </c>
      <c r="J70" s="23" t="s">
        <v>262</v>
      </c>
      <c r="K70" s="58">
        <f>MROUND(IF(TRIM(T70)="ATHE", I70*0.75, IF(TRIM(T70)="Focus Awards", I70*0.6, I70*0.7)) + 1, 10) - 1</f>
        <v>989</v>
      </c>
      <c r="L70" s="61">
        <f t="shared" si="11"/>
        <v>0.40181956027293408</v>
      </c>
      <c r="M70" s="65">
        <f t="shared" si="12"/>
        <v>0.25018953752843065</v>
      </c>
      <c r="N70" s="58">
        <f>ROUND(IF(TRIM(T70)="ATHE", VALUE(SUBSTITUTE(SUBSTITUTE(D70,"£",""),",",""))*0.85, VALUE(SUBSTITUTE(SUBSTITUTE(D70,"£",""),",",""))*0.8), 0)</f>
        <v>934</v>
      </c>
      <c r="O70" s="65">
        <f t="shared" si="13"/>
        <v>0.15013648771610555</v>
      </c>
      <c r="P70" s="58">
        <f t="shared" si="14"/>
        <v>99</v>
      </c>
      <c r="Q70" s="66">
        <f t="shared" si="15"/>
        <v>93</v>
      </c>
      <c r="R70" s="58">
        <f t="shared" si="16"/>
        <v>91</v>
      </c>
      <c r="S70" s="67">
        <f t="shared" si="17"/>
        <v>9</v>
      </c>
      <c r="T70" s="23" t="s">
        <v>26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 s="6"/>
    </row>
    <row r="71" spans="1:156" s="1" customFormat="1" ht="29.45">
      <c r="A71" s="23">
        <v>70</v>
      </c>
      <c r="B71" s="18" t="s">
        <v>263</v>
      </c>
      <c r="C71" s="19" t="s">
        <v>264</v>
      </c>
      <c r="D71" s="23" t="s">
        <v>261</v>
      </c>
      <c r="E71" s="24" t="s">
        <v>265</v>
      </c>
      <c r="F71" s="56">
        <f>MROUND(IF(TRIM(T71)="ATHE", D71*0.75, IF(TRIM(T71)="Focus Awards", D71*0.6, D71*0.7)) + 1, 10) - 1</f>
        <v>499</v>
      </c>
      <c r="G71" s="22">
        <f t="shared" si="9"/>
        <v>0.3945371775417299</v>
      </c>
      <c r="H71" s="51">
        <f t="shared" si="10"/>
        <v>0.24279210925644912</v>
      </c>
      <c r="I71" s="23" t="s">
        <v>262</v>
      </c>
      <c r="J71" s="23" t="s">
        <v>25</v>
      </c>
      <c r="K71" s="58">
        <f>MROUND(IF(TRIM(T71)="ATHE", I71*0.75, IF(TRIM(T71)="Focus Awards", I71*0.6, I71*0.7)) + 1, 10) - 1</f>
        <v>589</v>
      </c>
      <c r="L71" s="61">
        <f t="shared" si="11"/>
        <v>0.40557667934093788</v>
      </c>
      <c r="M71" s="65">
        <f t="shared" si="12"/>
        <v>0.25348542458808621</v>
      </c>
      <c r="N71" s="58">
        <f>ROUND(IF(TRIM(T71)="ATHE", VALUE(SUBSTITUTE(SUBSTITUTE(D71,"£",""),",",""))*0.85, VALUE(SUBSTITUTE(SUBSTITUTE(D71,"£",""),",",""))*0.8), 0)</f>
        <v>560</v>
      </c>
      <c r="O71" s="65">
        <f t="shared" si="13"/>
        <v>0.15022761760242798</v>
      </c>
      <c r="P71" s="58">
        <f t="shared" si="14"/>
        <v>99</v>
      </c>
      <c r="Q71" s="66">
        <f t="shared" si="15"/>
        <v>52</v>
      </c>
      <c r="R71" s="58">
        <f t="shared" si="16"/>
        <v>45</v>
      </c>
      <c r="S71" s="67">
        <f t="shared" si="17"/>
        <v>9</v>
      </c>
      <c r="T71" s="23" t="s">
        <v>26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 s="6"/>
    </row>
    <row r="72" spans="1:156" s="1" customFormat="1" ht="29.45">
      <c r="A72" s="17">
        <v>71</v>
      </c>
      <c r="B72" s="18" t="s">
        <v>266</v>
      </c>
      <c r="C72" s="19" t="s">
        <v>267</v>
      </c>
      <c r="D72" s="23" t="s">
        <v>268</v>
      </c>
      <c r="E72" s="24" t="s">
        <v>269</v>
      </c>
      <c r="F72" s="56">
        <f>MROUND(IF(TRIM(T72)="ATHE", D72*0.75, IF(TRIM(T72)="Focus Awards", D72*0.6, D72*0.7)) + 1, 10) - 1</f>
        <v>569</v>
      </c>
      <c r="G72" s="22">
        <f t="shared" si="9"/>
        <v>0.39525691699604748</v>
      </c>
      <c r="H72" s="51">
        <f t="shared" si="10"/>
        <v>0.25032938076416333</v>
      </c>
      <c r="I72" s="23" t="s">
        <v>270</v>
      </c>
      <c r="J72" s="23" t="s">
        <v>271</v>
      </c>
      <c r="K72" s="58">
        <f>MROUND(IF(TRIM(T72)="ATHE", I72*0.75, IF(TRIM(T72)="Focus Awards", I72*0.6, I72*0.7)) + 1, 10) - 1</f>
        <v>679</v>
      </c>
      <c r="L72" s="61">
        <f t="shared" si="11"/>
        <v>0.39603960396039606</v>
      </c>
      <c r="M72" s="65">
        <f t="shared" si="12"/>
        <v>0.25302530253025302</v>
      </c>
      <c r="N72" s="58">
        <f>ROUND(IF(TRIM(T72)="ATHE", VALUE(SUBSTITUTE(SUBSTITUTE(D72,"£",""),",",""))*0.85, VALUE(SUBSTITUTE(SUBSTITUTE(D72,"£",""),",",""))*0.8), 0)</f>
        <v>645</v>
      </c>
      <c r="O72" s="65">
        <f t="shared" si="13"/>
        <v>0.15019762845849804</v>
      </c>
      <c r="P72" s="58">
        <f t="shared" si="14"/>
        <v>99</v>
      </c>
      <c r="Q72" s="66">
        <f t="shared" si="15"/>
        <v>61</v>
      </c>
      <c r="R72" s="58">
        <f t="shared" si="16"/>
        <v>58</v>
      </c>
      <c r="S72" s="67">
        <f t="shared" si="17"/>
        <v>9</v>
      </c>
      <c r="T72" s="23" t="s">
        <v>26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 s="6"/>
    </row>
    <row r="73" spans="1:156" s="1" customFormat="1">
      <c r="A73" s="23">
        <v>72</v>
      </c>
      <c r="B73" s="18" t="s">
        <v>272</v>
      </c>
      <c r="C73" s="19" t="s">
        <v>273</v>
      </c>
      <c r="D73" s="23" t="s">
        <v>133</v>
      </c>
      <c r="E73" s="24" t="s">
        <v>134</v>
      </c>
      <c r="F73" s="56">
        <f>MROUND(IF(TRIM(T73)="ATHE", D73*0.75, IF(TRIM(T73)="Focus Awards", D73*0.6, D73*0.7)) + 1, 10) - 1</f>
        <v>1279</v>
      </c>
      <c r="G73" s="22">
        <f t="shared" si="9"/>
        <v>0.40023543260741612</v>
      </c>
      <c r="H73" s="51">
        <f t="shared" si="10"/>
        <v>0.24720423778693346</v>
      </c>
      <c r="I73" s="23" t="s">
        <v>135</v>
      </c>
      <c r="J73" s="23" t="s">
        <v>136</v>
      </c>
      <c r="K73" s="58">
        <f>MROUND(IF(TRIM(T73)="ATHE", I73*0.75, IF(TRIM(T73)="Focus Awards", I73*0.6, I73*0.7)) + 1, 10) - 1</f>
        <v>1529</v>
      </c>
      <c r="L73" s="61">
        <f t="shared" si="11"/>
        <v>0.40215792054928889</v>
      </c>
      <c r="M73" s="65">
        <f t="shared" si="12"/>
        <v>0.2501226091221187</v>
      </c>
      <c r="N73" s="58">
        <f>ROUND(IF(TRIM(T73)="ATHE", VALUE(SUBSTITUTE(SUBSTITUTE(D73,"£",""),",",""))*0.85, VALUE(SUBSTITUTE(SUBSTITUTE(D73,"£",""),",",""))*0.8), 0)</f>
        <v>1444</v>
      </c>
      <c r="O73" s="65">
        <f t="shared" si="13"/>
        <v>0.150088287227781</v>
      </c>
      <c r="P73" s="58">
        <f t="shared" si="14"/>
        <v>99</v>
      </c>
      <c r="Q73" s="66">
        <f t="shared" si="15"/>
        <v>150</v>
      </c>
      <c r="R73" s="58">
        <f t="shared" si="16"/>
        <v>145</v>
      </c>
      <c r="S73" s="67">
        <f t="shared" si="17"/>
        <v>9</v>
      </c>
      <c r="T73" s="23" t="s">
        <v>26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 s="6"/>
    </row>
    <row r="74" spans="1:156" s="1" customFormat="1" ht="29.45">
      <c r="A74" s="17">
        <v>73</v>
      </c>
      <c r="B74" s="18" t="s">
        <v>274</v>
      </c>
      <c r="C74" s="19" t="s">
        <v>275</v>
      </c>
      <c r="D74" s="23" t="s">
        <v>202</v>
      </c>
      <c r="E74" s="24" t="s">
        <v>203</v>
      </c>
      <c r="F74" s="56">
        <f>MROUND(IF(TRIM(T74)="ATHE", D74*0.75, IF(TRIM(T74)="Focus Awards", D74*0.6, D74*0.7)) + 1, 10) - 1</f>
        <v>1449</v>
      </c>
      <c r="G74" s="22">
        <f t="shared" si="9"/>
        <v>0.39917055469155005</v>
      </c>
      <c r="H74" s="51">
        <f t="shared" si="10"/>
        <v>0.24883359253499227</v>
      </c>
      <c r="I74" s="23" t="s">
        <v>204</v>
      </c>
      <c r="J74" s="23" t="s">
        <v>205</v>
      </c>
      <c r="K74" s="58">
        <f>MROUND(IF(TRIM(T74)="ATHE", I74*0.75, IF(TRIM(T74)="Focus Awards", I74*0.6, I74*0.7)) + 1, 10) - 1</f>
        <v>1739</v>
      </c>
      <c r="L74" s="61">
        <f t="shared" si="11"/>
        <v>0.40103492884864167</v>
      </c>
      <c r="M74" s="65">
        <f t="shared" si="12"/>
        <v>0.25010780508840014</v>
      </c>
      <c r="N74" s="58">
        <f>ROUND(IF(TRIM(T74)="ATHE", VALUE(SUBSTITUTE(SUBSTITUTE(D74,"£",""),",",""))*0.85, VALUE(SUBSTITUTE(SUBSTITUTE(D74,"£",""),",",""))*0.8), 0)</f>
        <v>1640</v>
      </c>
      <c r="O74" s="65">
        <f t="shared" si="13"/>
        <v>0.14981855883877659</v>
      </c>
      <c r="P74" s="58">
        <f t="shared" si="14"/>
        <v>99</v>
      </c>
      <c r="Q74" s="66">
        <f t="shared" si="15"/>
        <v>172</v>
      </c>
      <c r="R74" s="58">
        <f t="shared" si="16"/>
        <v>165</v>
      </c>
      <c r="S74" s="67">
        <f t="shared" si="17"/>
        <v>9</v>
      </c>
      <c r="T74" s="23" t="s">
        <v>26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 s="6"/>
    </row>
    <row r="75" spans="1:156" s="1" customFormat="1" ht="29.45">
      <c r="A75" s="23">
        <v>74</v>
      </c>
      <c r="B75" s="18" t="s">
        <v>276</v>
      </c>
      <c r="C75" s="19" t="s">
        <v>277</v>
      </c>
      <c r="D75" s="23" t="s">
        <v>202</v>
      </c>
      <c r="E75" s="24" t="s">
        <v>203</v>
      </c>
      <c r="F75" s="56">
        <f>MROUND(IF(TRIM(T75)="ATHE", D75*0.75, IF(TRIM(T75)="Focus Awards", D75*0.6, D75*0.7)) + 1, 10) - 1</f>
        <v>1449</v>
      </c>
      <c r="G75" s="22">
        <f t="shared" si="9"/>
        <v>0.39917055469155005</v>
      </c>
      <c r="H75" s="51">
        <f t="shared" si="10"/>
        <v>0.24883359253499227</v>
      </c>
      <c r="I75" s="23" t="s">
        <v>204</v>
      </c>
      <c r="J75" s="23" t="s">
        <v>205</v>
      </c>
      <c r="K75" s="58">
        <f>MROUND(IF(TRIM(T75)="ATHE", I75*0.75, IF(TRIM(T75)="Focus Awards", I75*0.6, I75*0.7)) + 1, 10) - 1</f>
        <v>1739</v>
      </c>
      <c r="L75" s="61">
        <f t="shared" si="11"/>
        <v>0.40103492884864167</v>
      </c>
      <c r="M75" s="65">
        <f t="shared" si="12"/>
        <v>0.25010780508840014</v>
      </c>
      <c r="N75" s="58">
        <f>ROUND(IF(TRIM(T75)="ATHE", VALUE(SUBSTITUTE(SUBSTITUTE(D75,"£",""),",",""))*0.85, VALUE(SUBSTITUTE(SUBSTITUTE(D75,"£",""),",",""))*0.8), 0)</f>
        <v>1640</v>
      </c>
      <c r="O75" s="65">
        <f t="shared" si="13"/>
        <v>0.14981855883877659</v>
      </c>
      <c r="P75" s="58">
        <f t="shared" si="14"/>
        <v>99</v>
      </c>
      <c r="Q75" s="66">
        <f t="shared" si="15"/>
        <v>172</v>
      </c>
      <c r="R75" s="58">
        <f t="shared" si="16"/>
        <v>165</v>
      </c>
      <c r="S75" s="67">
        <f t="shared" si="17"/>
        <v>9</v>
      </c>
      <c r="T75" s="23" t="s">
        <v>26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 s="6"/>
    </row>
    <row r="76" spans="1:156" s="1" customFormat="1" ht="29.45">
      <c r="A76" s="17">
        <v>75</v>
      </c>
      <c r="B76" s="18" t="s">
        <v>278</v>
      </c>
      <c r="C76" s="19" t="s">
        <v>279</v>
      </c>
      <c r="D76" s="23" t="s">
        <v>157</v>
      </c>
      <c r="E76" s="24" t="s">
        <v>158</v>
      </c>
      <c r="F76" s="56">
        <f>MROUND(IF(TRIM(T76)="ATHE", D76*0.75, IF(TRIM(T76)="Focus Awards", D76*0.6, D76*0.7)) + 1, 10) - 1</f>
        <v>1309</v>
      </c>
      <c r="G76" s="22">
        <f t="shared" si="9"/>
        <v>0.40022870211549455</v>
      </c>
      <c r="H76" s="51">
        <f t="shared" si="10"/>
        <v>0.25157232704402521</v>
      </c>
      <c r="I76" s="23" t="s">
        <v>159</v>
      </c>
      <c r="J76" s="23" t="s">
        <v>160</v>
      </c>
      <c r="K76" s="58">
        <f>MROUND(IF(TRIM(T76)="ATHE", I76*0.75, IF(TRIM(T76)="Focus Awards", I76*0.6, I76*0.7)) + 1, 10) - 1</f>
        <v>1579</v>
      </c>
      <c r="L76" s="61">
        <f t="shared" si="11"/>
        <v>0.40019056693663646</v>
      </c>
      <c r="M76" s="65">
        <f t="shared" si="12"/>
        <v>0.2477370176274416</v>
      </c>
      <c r="N76" s="58">
        <f>ROUND(IF(TRIM(T76)="ATHE", VALUE(SUBSTITUTE(SUBSTITUTE(D76,"£",""),",",""))*0.85, VALUE(SUBSTITUTE(SUBSTITUTE(D76,"£",""),",",""))*0.8), 0)</f>
        <v>1487</v>
      </c>
      <c r="O76" s="65">
        <f t="shared" si="13"/>
        <v>0.1497998856489422</v>
      </c>
      <c r="P76" s="58">
        <f t="shared" si="14"/>
        <v>99</v>
      </c>
      <c r="Q76" s="66">
        <f t="shared" si="15"/>
        <v>155</v>
      </c>
      <c r="R76" s="58">
        <f t="shared" si="16"/>
        <v>148</v>
      </c>
      <c r="S76" s="67">
        <f t="shared" si="17"/>
        <v>9</v>
      </c>
      <c r="T76" s="23" t="s">
        <v>26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 s="6"/>
    </row>
    <row r="77" spans="1:156" s="1" customFormat="1" ht="29.45">
      <c r="A77" s="23">
        <v>76</v>
      </c>
      <c r="B77" s="18" t="s">
        <v>280</v>
      </c>
      <c r="C77" s="19" t="s">
        <v>281</v>
      </c>
      <c r="D77" s="23" t="s">
        <v>157</v>
      </c>
      <c r="E77" s="24" t="s">
        <v>158</v>
      </c>
      <c r="F77" s="56">
        <f>MROUND(IF(TRIM(T77)="ATHE", D77*0.75, IF(TRIM(T77)="Focus Awards", D77*0.6, D77*0.7)) + 1, 10) - 1</f>
        <v>1309</v>
      </c>
      <c r="G77" s="22">
        <f t="shared" si="9"/>
        <v>0.40022870211549455</v>
      </c>
      <c r="H77" s="51">
        <f t="shared" si="10"/>
        <v>0.25157232704402521</v>
      </c>
      <c r="I77" s="23" t="s">
        <v>159</v>
      </c>
      <c r="J77" s="23" t="s">
        <v>160</v>
      </c>
      <c r="K77" s="58">
        <f>MROUND(IF(TRIM(T77)="ATHE", I77*0.75, IF(TRIM(T77)="Focus Awards", I77*0.6, I77*0.7)) + 1, 10) - 1</f>
        <v>1579</v>
      </c>
      <c r="L77" s="61">
        <f t="shared" si="11"/>
        <v>0.40019056693663646</v>
      </c>
      <c r="M77" s="65">
        <f t="shared" si="12"/>
        <v>0.2477370176274416</v>
      </c>
      <c r="N77" s="58">
        <f>ROUND(IF(TRIM(T77)="ATHE", VALUE(SUBSTITUTE(SUBSTITUTE(D77,"£",""),",",""))*0.85, VALUE(SUBSTITUTE(SUBSTITUTE(D77,"£",""),",",""))*0.8), 0)</f>
        <v>1487</v>
      </c>
      <c r="O77" s="65">
        <f t="shared" si="13"/>
        <v>0.1497998856489422</v>
      </c>
      <c r="P77" s="58">
        <f t="shared" si="14"/>
        <v>99</v>
      </c>
      <c r="Q77" s="66">
        <f t="shared" si="15"/>
        <v>155</v>
      </c>
      <c r="R77" s="58">
        <f t="shared" si="16"/>
        <v>148</v>
      </c>
      <c r="S77" s="67">
        <f t="shared" si="17"/>
        <v>9</v>
      </c>
      <c r="T77" s="23" t="s">
        <v>26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 s="6"/>
    </row>
    <row r="78" spans="1:156" s="1" customFormat="1" ht="29.45">
      <c r="A78" s="17">
        <v>77</v>
      </c>
      <c r="B78" s="18" t="s">
        <v>282</v>
      </c>
      <c r="C78" s="19" t="s">
        <v>283</v>
      </c>
      <c r="D78" s="23" t="s">
        <v>157</v>
      </c>
      <c r="E78" s="24" t="s">
        <v>158</v>
      </c>
      <c r="F78" s="56">
        <f>MROUND(IF(TRIM(T78)="ATHE", D78*0.75, IF(TRIM(T78)="Focus Awards", D78*0.6, D78*0.7)) + 1, 10) - 1</f>
        <v>1309</v>
      </c>
      <c r="G78" s="22">
        <f t="shared" si="9"/>
        <v>0.40022870211549455</v>
      </c>
      <c r="H78" s="51">
        <f t="shared" si="10"/>
        <v>0.25157232704402521</v>
      </c>
      <c r="I78" s="23" t="s">
        <v>159</v>
      </c>
      <c r="J78" s="23" t="s">
        <v>160</v>
      </c>
      <c r="K78" s="58">
        <f>MROUND(IF(TRIM(T78)="ATHE", I78*0.75, IF(TRIM(T78)="Focus Awards", I78*0.6, I78*0.7)) + 1, 10) - 1</f>
        <v>1579</v>
      </c>
      <c r="L78" s="61">
        <f t="shared" si="11"/>
        <v>0.40019056693663646</v>
      </c>
      <c r="M78" s="65">
        <f t="shared" si="12"/>
        <v>0.2477370176274416</v>
      </c>
      <c r="N78" s="58">
        <f>ROUND(IF(TRIM(T78)="ATHE", VALUE(SUBSTITUTE(SUBSTITUTE(D78,"£",""),",",""))*0.85, VALUE(SUBSTITUTE(SUBSTITUTE(D78,"£",""),",",""))*0.8), 0)</f>
        <v>1487</v>
      </c>
      <c r="O78" s="65">
        <f t="shared" si="13"/>
        <v>0.1497998856489422</v>
      </c>
      <c r="P78" s="58">
        <f t="shared" si="14"/>
        <v>99</v>
      </c>
      <c r="Q78" s="66">
        <f t="shared" si="15"/>
        <v>155</v>
      </c>
      <c r="R78" s="58">
        <f t="shared" si="16"/>
        <v>148</v>
      </c>
      <c r="S78" s="67">
        <f t="shared" si="17"/>
        <v>9</v>
      </c>
      <c r="T78" s="23" t="s">
        <v>26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 s="6"/>
    </row>
    <row r="79" spans="1:156" s="1" customFormat="1" ht="29.45">
      <c r="A79" s="23">
        <v>78</v>
      </c>
      <c r="B79" s="18" t="s">
        <v>284</v>
      </c>
      <c r="C79" s="19" t="s">
        <v>285</v>
      </c>
      <c r="D79" s="23" t="s">
        <v>157</v>
      </c>
      <c r="E79" s="24" t="s">
        <v>158</v>
      </c>
      <c r="F79" s="56">
        <f>MROUND(IF(TRIM(T79)="ATHE", D79*0.75, IF(TRIM(T79)="Focus Awards", D79*0.6, D79*0.7)) + 1, 10) - 1</f>
        <v>1309</v>
      </c>
      <c r="G79" s="22">
        <f t="shared" si="9"/>
        <v>0.40022870211549455</v>
      </c>
      <c r="H79" s="51">
        <f t="shared" si="10"/>
        <v>0.25157232704402521</v>
      </c>
      <c r="I79" s="23" t="s">
        <v>159</v>
      </c>
      <c r="J79" s="23" t="s">
        <v>160</v>
      </c>
      <c r="K79" s="58">
        <f>MROUND(IF(TRIM(T79)="ATHE", I79*0.75, IF(TRIM(T79)="Focus Awards", I79*0.6, I79*0.7)) + 1, 10) - 1</f>
        <v>1579</v>
      </c>
      <c r="L79" s="61">
        <f t="shared" si="11"/>
        <v>0.40019056693663646</v>
      </c>
      <c r="M79" s="65">
        <f t="shared" si="12"/>
        <v>0.2477370176274416</v>
      </c>
      <c r="N79" s="58">
        <f>ROUND(IF(TRIM(T79)="ATHE", VALUE(SUBSTITUTE(SUBSTITUTE(D79,"£",""),",",""))*0.85, VALUE(SUBSTITUTE(SUBSTITUTE(D79,"£",""),",",""))*0.8), 0)</f>
        <v>1487</v>
      </c>
      <c r="O79" s="65">
        <f t="shared" si="13"/>
        <v>0.1497998856489422</v>
      </c>
      <c r="P79" s="58">
        <f t="shared" si="14"/>
        <v>99</v>
      </c>
      <c r="Q79" s="66">
        <f t="shared" si="15"/>
        <v>155</v>
      </c>
      <c r="R79" s="58">
        <f t="shared" si="16"/>
        <v>148</v>
      </c>
      <c r="S79" s="67">
        <f t="shared" si="17"/>
        <v>9</v>
      </c>
      <c r="T79" s="23" t="s">
        <v>26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 s="6"/>
    </row>
    <row r="80" spans="1:156" s="1" customFormat="1" ht="29.45">
      <c r="A80" s="17">
        <v>79</v>
      </c>
      <c r="B80" s="18" t="s">
        <v>286</v>
      </c>
      <c r="C80" s="19" t="s">
        <v>287</v>
      </c>
      <c r="D80" s="23" t="s">
        <v>157</v>
      </c>
      <c r="E80" s="24" t="s">
        <v>158</v>
      </c>
      <c r="F80" s="56">
        <f>MROUND(IF(TRIM(T80)="ATHE", D80*0.75, IF(TRIM(T80)="Focus Awards", D80*0.6, D80*0.7)) + 1, 10) - 1</f>
        <v>1309</v>
      </c>
      <c r="G80" s="22">
        <f t="shared" si="9"/>
        <v>0.40022870211549455</v>
      </c>
      <c r="H80" s="51">
        <f t="shared" si="10"/>
        <v>0.25157232704402521</v>
      </c>
      <c r="I80" s="23" t="s">
        <v>159</v>
      </c>
      <c r="J80" s="23" t="s">
        <v>160</v>
      </c>
      <c r="K80" s="58">
        <f>MROUND(IF(TRIM(T80)="ATHE", I80*0.75, IF(TRIM(T80)="Focus Awards", I80*0.6, I80*0.7)) + 1, 10) - 1</f>
        <v>1579</v>
      </c>
      <c r="L80" s="61">
        <f t="shared" si="11"/>
        <v>0.40019056693663646</v>
      </c>
      <c r="M80" s="65">
        <f t="shared" si="12"/>
        <v>0.2477370176274416</v>
      </c>
      <c r="N80" s="58">
        <f>ROUND(IF(TRIM(T80)="ATHE", VALUE(SUBSTITUTE(SUBSTITUTE(D80,"£",""),",",""))*0.85, VALUE(SUBSTITUTE(SUBSTITUTE(D80,"£",""),",",""))*0.8), 0)</f>
        <v>1487</v>
      </c>
      <c r="O80" s="65">
        <f t="shared" si="13"/>
        <v>0.1497998856489422</v>
      </c>
      <c r="P80" s="58">
        <f t="shared" si="14"/>
        <v>99</v>
      </c>
      <c r="Q80" s="66">
        <f t="shared" si="15"/>
        <v>155</v>
      </c>
      <c r="R80" s="58">
        <f t="shared" si="16"/>
        <v>148</v>
      </c>
      <c r="S80" s="67">
        <f t="shared" si="17"/>
        <v>9</v>
      </c>
      <c r="T80" s="23" t="s">
        <v>26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 s="6"/>
    </row>
    <row r="81" spans="1:156" s="1" customFormat="1">
      <c r="A81" s="23">
        <v>80</v>
      </c>
      <c r="B81" s="18" t="s">
        <v>288</v>
      </c>
      <c r="C81" s="19" t="s">
        <v>289</v>
      </c>
      <c r="D81" s="23" t="s">
        <v>180</v>
      </c>
      <c r="E81" s="24" t="s">
        <v>181</v>
      </c>
      <c r="F81" s="56">
        <f>MROUND(IF(TRIM(T81)="ATHE", D81*0.75, IF(TRIM(T81)="Focus Awards", D81*0.6, D81*0.7)) + 1, 10) - 1</f>
        <v>1429</v>
      </c>
      <c r="G81" s="22">
        <f t="shared" si="9"/>
        <v>0.40021063717746186</v>
      </c>
      <c r="H81" s="51">
        <f t="shared" si="10"/>
        <v>0.24749868351764082</v>
      </c>
      <c r="I81" s="23" t="s">
        <v>182</v>
      </c>
      <c r="J81" s="23" t="s">
        <v>183</v>
      </c>
      <c r="K81" s="58">
        <f>MROUND(IF(TRIM(T81)="ATHE", I81*0.75, IF(TRIM(T81)="Focus Awards", I81*0.6, I81*0.7)) + 1, 10) - 1</f>
        <v>1709</v>
      </c>
      <c r="L81" s="61">
        <f t="shared" si="11"/>
        <v>0.3992979376919702</v>
      </c>
      <c r="M81" s="65">
        <f t="shared" si="12"/>
        <v>0.2501096972356297</v>
      </c>
      <c r="N81" s="58">
        <f>ROUND(IF(TRIM(T81)="ATHE", VALUE(SUBSTITUTE(SUBSTITUTE(D81,"£",""),",",""))*0.85, VALUE(SUBSTITUTE(SUBSTITUTE(D81,"£",""),",",""))*0.8), 0)</f>
        <v>1614</v>
      </c>
      <c r="O81" s="65">
        <f t="shared" si="13"/>
        <v>0.15007898894154814</v>
      </c>
      <c r="P81" s="58">
        <f t="shared" si="14"/>
        <v>99</v>
      </c>
      <c r="Q81" s="66">
        <f t="shared" si="15"/>
        <v>169</v>
      </c>
      <c r="R81" s="58">
        <f t="shared" si="16"/>
        <v>163</v>
      </c>
      <c r="S81" s="67">
        <f t="shared" si="17"/>
        <v>9</v>
      </c>
      <c r="T81" s="23" t="s">
        <v>26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 s="6"/>
    </row>
    <row r="82" spans="1:156" s="1" customFormat="1" ht="29.45">
      <c r="A82" s="17">
        <v>81</v>
      </c>
      <c r="B82" s="18" t="s">
        <v>290</v>
      </c>
      <c r="C82" s="19" t="s">
        <v>291</v>
      </c>
      <c r="D82" s="23" t="s">
        <v>196</v>
      </c>
      <c r="E82" s="24" t="s">
        <v>197</v>
      </c>
      <c r="F82" s="56">
        <f>MROUND(IF(TRIM(T82)="ATHE", D82*0.75, IF(TRIM(T82)="Focus Awards", D82*0.6, D82*0.7)) + 1, 10) - 1</f>
        <v>1799</v>
      </c>
      <c r="G82" s="22">
        <f t="shared" si="9"/>
        <v>0.40016673614005838</v>
      </c>
      <c r="H82" s="51">
        <f t="shared" si="10"/>
        <v>0.25010421008753647</v>
      </c>
      <c r="I82" s="23" t="s">
        <v>198</v>
      </c>
      <c r="J82" s="23" t="s">
        <v>199</v>
      </c>
      <c r="K82" s="58">
        <f>MROUND(IF(TRIM(T82)="ATHE", I82*0.75, IF(TRIM(T82)="Focus Awards", I82*0.6, I82*0.7)) + 1, 10) - 1</f>
        <v>2159</v>
      </c>
      <c r="L82" s="61">
        <f t="shared" si="11"/>
        <v>0.39944425147620699</v>
      </c>
      <c r="M82" s="65">
        <f t="shared" si="12"/>
        <v>0.25008683570684265</v>
      </c>
      <c r="N82" s="58">
        <f>ROUND(IF(TRIM(T82)="ATHE", VALUE(SUBSTITUTE(SUBSTITUTE(D82,"£",""),",",""))*0.85, VALUE(SUBSTITUTE(SUBSTITUTE(D82,"£",""),",",""))*0.8), 0)</f>
        <v>2039</v>
      </c>
      <c r="O82" s="65">
        <f t="shared" si="13"/>
        <v>0.15006252605252191</v>
      </c>
      <c r="P82" s="58">
        <f t="shared" si="14"/>
        <v>99</v>
      </c>
      <c r="Q82" s="66">
        <f t="shared" si="15"/>
        <v>216</v>
      </c>
      <c r="R82" s="58">
        <f t="shared" si="16"/>
        <v>212</v>
      </c>
      <c r="S82" s="67">
        <f t="shared" si="17"/>
        <v>9</v>
      </c>
      <c r="T82" s="23" t="s">
        <v>26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 s="6"/>
    </row>
    <row r="83" spans="1:156" s="1" customFormat="1" ht="29.45">
      <c r="A83" s="23">
        <v>82</v>
      </c>
      <c r="B83" s="18" t="s">
        <v>292</v>
      </c>
      <c r="C83" s="19" t="s">
        <v>293</v>
      </c>
      <c r="D83" s="23" t="s">
        <v>196</v>
      </c>
      <c r="E83" s="24" t="s">
        <v>197</v>
      </c>
      <c r="F83" s="56">
        <f>MROUND(IF(TRIM(T83)="ATHE", D83*0.75, IF(TRIM(T83)="Focus Awards", D83*0.6, D83*0.7)) + 1, 10) - 1</f>
        <v>1799</v>
      </c>
      <c r="G83" s="22">
        <f t="shared" si="9"/>
        <v>0.40016673614005838</v>
      </c>
      <c r="H83" s="51">
        <f t="shared" si="10"/>
        <v>0.25010421008753647</v>
      </c>
      <c r="I83" s="23" t="s">
        <v>198</v>
      </c>
      <c r="J83" s="23" t="s">
        <v>199</v>
      </c>
      <c r="K83" s="58">
        <f>MROUND(IF(TRIM(T83)="ATHE", I83*0.75, IF(TRIM(T83)="Focus Awards", I83*0.6, I83*0.7)) + 1, 10) - 1</f>
        <v>2159</v>
      </c>
      <c r="L83" s="61">
        <f t="shared" si="11"/>
        <v>0.39944425147620699</v>
      </c>
      <c r="M83" s="65">
        <f t="shared" si="12"/>
        <v>0.25008683570684265</v>
      </c>
      <c r="N83" s="58">
        <f>ROUND(IF(TRIM(T83)="ATHE", VALUE(SUBSTITUTE(SUBSTITUTE(D83,"£",""),",",""))*0.85, VALUE(SUBSTITUTE(SUBSTITUTE(D83,"£",""),",",""))*0.8), 0)</f>
        <v>2039</v>
      </c>
      <c r="O83" s="65">
        <f t="shared" si="13"/>
        <v>0.15006252605252191</v>
      </c>
      <c r="P83" s="58">
        <f t="shared" si="14"/>
        <v>99</v>
      </c>
      <c r="Q83" s="66">
        <f t="shared" si="15"/>
        <v>216</v>
      </c>
      <c r="R83" s="58">
        <f t="shared" si="16"/>
        <v>212</v>
      </c>
      <c r="S83" s="67">
        <f t="shared" si="17"/>
        <v>9</v>
      </c>
      <c r="T83" s="23" t="s">
        <v>26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 s="6"/>
    </row>
    <row r="84" spans="1:156" s="1" customFormat="1" ht="29.45">
      <c r="A84" s="17">
        <v>83</v>
      </c>
      <c r="B84" s="18" t="s">
        <v>294</v>
      </c>
      <c r="C84" s="19" t="s">
        <v>295</v>
      </c>
      <c r="D84" s="23" t="s">
        <v>196</v>
      </c>
      <c r="E84" s="24" t="s">
        <v>197</v>
      </c>
      <c r="F84" s="56">
        <f>MROUND(IF(TRIM(T84)="ATHE", D84*0.75, IF(TRIM(T84)="Focus Awards", D84*0.6, D84*0.7)) + 1, 10) - 1</f>
        <v>1799</v>
      </c>
      <c r="G84" s="22">
        <f t="shared" si="9"/>
        <v>0.40016673614005838</v>
      </c>
      <c r="H84" s="51">
        <f t="shared" si="10"/>
        <v>0.25010421008753647</v>
      </c>
      <c r="I84" s="23" t="s">
        <v>198</v>
      </c>
      <c r="J84" s="23" t="s">
        <v>199</v>
      </c>
      <c r="K84" s="58">
        <f>MROUND(IF(TRIM(T84)="ATHE", I84*0.75, IF(TRIM(T84)="Focus Awards", I84*0.6, I84*0.7)) + 1, 10) - 1</f>
        <v>2159</v>
      </c>
      <c r="L84" s="61">
        <f t="shared" si="11"/>
        <v>0.39944425147620699</v>
      </c>
      <c r="M84" s="65">
        <f t="shared" si="12"/>
        <v>0.25008683570684265</v>
      </c>
      <c r="N84" s="58">
        <f>ROUND(IF(TRIM(T84)="ATHE", VALUE(SUBSTITUTE(SUBSTITUTE(D84,"£",""),",",""))*0.85, VALUE(SUBSTITUTE(SUBSTITUTE(D84,"£",""),",",""))*0.8), 0)</f>
        <v>2039</v>
      </c>
      <c r="O84" s="65">
        <f t="shared" si="13"/>
        <v>0.15006252605252191</v>
      </c>
      <c r="P84" s="58">
        <f t="shared" si="14"/>
        <v>99</v>
      </c>
      <c r="Q84" s="66">
        <f t="shared" si="15"/>
        <v>216</v>
      </c>
      <c r="R84" s="58">
        <f t="shared" si="16"/>
        <v>212</v>
      </c>
      <c r="S84" s="67">
        <f t="shared" si="17"/>
        <v>9</v>
      </c>
      <c r="T84" s="23" t="s">
        <v>26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 s="6"/>
    </row>
    <row r="85" spans="1:156" s="1" customFormat="1" ht="29.45">
      <c r="A85" s="23">
        <v>84</v>
      </c>
      <c r="B85" s="18" t="s">
        <v>296</v>
      </c>
      <c r="C85" s="19" t="s">
        <v>297</v>
      </c>
      <c r="D85" s="23" t="s">
        <v>196</v>
      </c>
      <c r="E85" s="24" t="s">
        <v>197</v>
      </c>
      <c r="F85" s="56">
        <f>MROUND(IF(TRIM(T85)="ATHE", D85*0.75, IF(TRIM(T85)="Focus Awards", D85*0.6, D85*0.7)) + 1, 10) - 1</f>
        <v>1799</v>
      </c>
      <c r="G85" s="22">
        <f t="shared" si="9"/>
        <v>0.40016673614005838</v>
      </c>
      <c r="H85" s="51">
        <f t="shared" si="10"/>
        <v>0.25010421008753647</v>
      </c>
      <c r="I85" s="23" t="s">
        <v>198</v>
      </c>
      <c r="J85" s="23" t="s">
        <v>199</v>
      </c>
      <c r="K85" s="58">
        <f>MROUND(IF(TRIM(T85)="ATHE", I85*0.75, IF(TRIM(T85)="Focus Awards", I85*0.6, I85*0.7)) + 1, 10) - 1</f>
        <v>2159</v>
      </c>
      <c r="L85" s="61">
        <f t="shared" si="11"/>
        <v>0.39944425147620699</v>
      </c>
      <c r="M85" s="65">
        <f t="shared" si="12"/>
        <v>0.25008683570684265</v>
      </c>
      <c r="N85" s="58">
        <f>ROUND(IF(TRIM(T85)="ATHE", VALUE(SUBSTITUTE(SUBSTITUTE(D85,"£",""),",",""))*0.85, VALUE(SUBSTITUTE(SUBSTITUTE(D85,"£",""),",",""))*0.8), 0)</f>
        <v>2039</v>
      </c>
      <c r="O85" s="65">
        <f t="shared" si="13"/>
        <v>0.15006252605252191</v>
      </c>
      <c r="P85" s="58">
        <f t="shared" si="14"/>
        <v>99</v>
      </c>
      <c r="Q85" s="66">
        <f t="shared" si="15"/>
        <v>216</v>
      </c>
      <c r="R85" s="58">
        <f t="shared" si="16"/>
        <v>212</v>
      </c>
      <c r="S85" s="67">
        <f t="shared" si="17"/>
        <v>9</v>
      </c>
      <c r="T85" s="23" t="s">
        <v>26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 s="6"/>
    </row>
    <row r="86" spans="1:156" s="1" customFormat="1" ht="29.45">
      <c r="A86" s="17">
        <v>85</v>
      </c>
      <c r="B86" s="18" t="s">
        <v>298</v>
      </c>
      <c r="C86" s="19" t="s">
        <v>299</v>
      </c>
      <c r="D86" s="23" t="s">
        <v>196</v>
      </c>
      <c r="E86" s="24" t="s">
        <v>197</v>
      </c>
      <c r="F86" s="56">
        <f>MROUND(IF(TRIM(T86)="ATHE", D86*0.75, IF(TRIM(T86)="Focus Awards", D86*0.6, D86*0.7)) + 1, 10) - 1</f>
        <v>1799</v>
      </c>
      <c r="G86" s="22">
        <f t="shared" si="9"/>
        <v>0.40016673614005838</v>
      </c>
      <c r="H86" s="51">
        <f t="shared" si="10"/>
        <v>0.25010421008753647</v>
      </c>
      <c r="I86" s="23" t="s">
        <v>198</v>
      </c>
      <c r="J86" s="23" t="s">
        <v>199</v>
      </c>
      <c r="K86" s="58">
        <f>MROUND(IF(TRIM(T86)="ATHE", I86*0.75, IF(TRIM(T86)="Focus Awards", I86*0.6, I86*0.7)) + 1, 10) - 1</f>
        <v>2159</v>
      </c>
      <c r="L86" s="61">
        <f t="shared" si="11"/>
        <v>0.39944425147620699</v>
      </c>
      <c r="M86" s="65">
        <f t="shared" si="12"/>
        <v>0.25008683570684265</v>
      </c>
      <c r="N86" s="58">
        <f>ROUND(IF(TRIM(T86)="ATHE", VALUE(SUBSTITUTE(SUBSTITUTE(D86,"£",""),",",""))*0.85, VALUE(SUBSTITUTE(SUBSTITUTE(D86,"£",""),",",""))*0.8), 0)</f>
        <v>2039</v>
      </c>
      <c r="O86" s="65">
        <f t="shared" si="13"/>
        <v>0.15006252605252191</v>
      </c>
      <c r="P86" s="58">
        <f t="shared" si="14"/>
        <v>99</v>
      </c>
      <c r="Q86" s="66">
        <f t="shared" si="15"/>
        <v>216</v>
      </c>
      <c r="R86" s="58">
        <f t="shared" si="16"/>
        <v>212</v>
      </c>
      <c r="S86" s="67">
        <f t="shared" si="17"/>
        <v>9</v>
      </c>
      <c r="T86" s="23" t="s">
        <v>26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 s="6"/>
    </row>
    <row r="87" spans="1:156" s="1" customFormat="1" ht="29.45">
      <c r="A87" s="23">
        <v>86</v>
      </c>
      <c r="B87" s="18" t="s">
        <v>300</v>
      </c>
      <c r="C87" s="19" t="s">
        <v>301</v>
      </c>
      <c r="D87" s="23" t="s">
        <v>196</v>
      </c>
      <c r="E87" s="24" t="s">
        <v>197</v>
      </c>
      <c r="F87" s="56">
        <f>MROUND(IF(TRIM(T87)="ATHE", D87*0.75, IF(TRIM(T87)="Focus Awards", D87*0.6, D87*0.7)) + 1, 10) - 1</f>
        <v>1799</v>
      </c>
      <c r="G87" s="22">
        <f t="shared" si="9"/>
        <v>0.40016673614005838</v>
      </c>
      <c r="H87" s="51">
        <f t="shared" si="10"/>
        <v>0.25010421008753647</v>
      </c>
      <c r="I87" s="23" t="s">
        <v>198</v>
      </c>
      <c r="J87" s="23" t="s">
        <v>199</v>
      </c>
      <c r="K87" s="58">
        <f>MROUND(IF(TRIM(T87)="ATHE", I87*0.75, IF(TRIM(T87)="Focus Awards", I87*0.6, I87*0.7)) + 1, 10) - 1</f>
        <v>2159</v>
      </c>
      <c r="L87" s="61">
        <f t="shared" si="11"/>
        <v>0.39944425147620699</v>
      </c>
      <c r="M87" s="65">
        <f t="shared" si="12"/>
        <v>0.25008683570684265</v>
      </c>
      <c r="N87" s="58">
        <f>ROUND(IF(TRIM(T87)="ATHE", VALUE(SUBSTITUTE(SUBSTITUTE(D87,"£",""),",",""))*0.85, VALUE(SUBSTITUTE(SUBSTITUTE(D87,"£",""),",",""))*0.8), 0)</f>
        <v>2039</v>
      </c>
      <c r="O87" s="65">
        <f t="shared" si="13"/>
        <v>0.15006252605252191</v>
      </c>
      <c r="P87" s="58">
        <f t="shared" si="14"/>
        <v>99</v>
      </c>
      <c r="Q87" s="66">
        <f t="shared" si="15"/>
        <v>216</v>
      </c>
      <c r="R87" s="58">
        <f t="shared" si="16"/>
        <v>212</v>
      </c>
      <c r="S87" s="67">
        <f t="shared" si="17"/>
        <v>9</v>
      </c>
      <c r="T87" s="23" t="s">
        <v>26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 s="6"/>
    </row>
    <row r="88" spans="1:156" s="1" customFormat="1" ht="29.45">
      <c r="A88" s="17">
        <v>87</v>
      </c>
      <c r="B88" s="18" t="s">
        <v>302</v>
      </c>
      <c r="C88" s="19" t="s">
        <v>303</v>
      </c>
      <c r="D88" s="23" t="s">
        <v>180</v>
      </c>
      <c r="E88" s="24" t="s">
        <v>181</v>
      </c>
      <c r="F88" s="56">
        <f>MROUND(IF(TRIM(T88)="ATHE", D88*0.75, IF(TRIM(T88)="Focus Awards", D88*0.6, D88*0.7)) + 1, 10) - 1</f>
        <v>1429</v>
      </c>
      <c r="G88" s="22">
        <f t="shared" si="9"/>
        <v>0.40021063717746186</v>
      </c>
      <c r="H88" s="51">
        <f t="shared" si="10"/>
        <v>0.24749868351764082</v>
      </c>
      <c r="I88" s="23" t="s">
        <v>182</v>
      </c>
      <c r="J88" s="23" t="s">
        <v>183</v>
      </c>
      <c r="K88" s="58">
        <f>MROUND(IF(TRIM(T88)="ATHE", I88*0.75, IF(TRIM(T88)="Focus Awards", I88*0.6, I88*0.7)) + 1, 10) - 1</f>
        <v>1709</v>
      </c>
      <c r="L88" s="61">
        <f t="shared" si="11"/>
        <v>0.3992979376919702</v>
      </c>
      <c r="M88" s="65">
        <f t="shared" si="12"/>
        <v>0.2501096972356297</v>
      </c>
      <c r="N88" s="58">
        <f>ROUND(IF(TRIM(T88)="ATHE", VALUE(SUBSTITUTE(SUBSTITUTE(D88,"£",""),",",""))*0.85, VALUE(SUBSTITUTE(SUBSTITUTE(D88,"£",""),",",""))*0.8), 0)</f>
        <v>1614</v>
      </c>
      <c r="O88" s="65">
        <f t="shared" si="13"/>
        <v>0.15007898894154814</v>
      </c>
      <c r="P88" s="58">
        <f t="shared" si="14"/>
        <v>99</v>
      </c>
      <c r="Q88" s="66">
        <f t="shared" si="15"/>
        <v>169</v>
      </c>
      <c r="R88" s="58">
        <f t="shared" si="16"/>
        <v>163</v>
      </c>
      <c r="S88" s="67">
        <f t="shared" si="17"/>
        <v>9</v>
      </c>
      <c r="T88" s="23" t="s">
        <v>26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 s="6"/>
    </row>
    <row r="89" spans="1:156" s="1" customFormat="1" ht="29.45">
      <c r="A89" s="23">
        <v>88</v>
      </c>
      <c r="B89" s="18" t="s">
        <v>304</v>
      </c>
      <c r="C89" s="19" t="s">
        <v>305</v>
      </c>
      <c r="D89" s="23" t="s">
        <v>180</v>
      </c>
      <c r="E89" s="24" t="s">
        <v>181</v>
      </c>
      <c r="F89" s="56">
        <f>MROUND(IF(TRIM(T89)="ATHE", D89*0.75, IF(TRIM(T89)="Focus Awards", D89*0.6, D89*0.7)) + 1, 10) - 1</f>
        <v>1429</v>
      </c>
      <c r="G89" s="22">
        <f t="shared" si="9"/>
        <v>0.40021063717746186</v>
      </c>
      <c r="H89" s="51">
        <f t="shared" si="10"/>
        <v>0.24749868351764082</v>
      </c>
      <c r="I89" s="23" t="s">
        <v>182</v>
      </c>
      <c r="J89" s="23" t="s">
        <v>183</v>
      </c>
      <c r="K89" s="58">
        <f>MROUND(IF(TRIM(T89)="ATHE", I89*0.75, IF(TRIM(T89)="Focus Awards", I89*0.6, I89*0.7)) + 1, 10) - 1</f>
        <v>1709</v>
      </c>
      <c r="L89" s="61">
        <f t="shared" si="11"/>
        <v>0.3992979376919702</v>
      </c>
      <c r="M89" s="65">
        <f t="shared" si="12"/>
        <v>0.2501096972356297</v>
      </c>
      <c r="N89" s="58">
        <f>ROUND(IF(TRIM(T89)="ATHE", VALUE(SUBSTITUTE(SUBSTITUTE(D89,"£",""),",",""))*0.85, VALUE(SUBSTITUTE(SUBSTITUTE(D89,"£",""),",",""))*0.8), 0)</f>
        <v>1614</v>
      </c>
      <c r="O89" s="65">
        <f t="shared" si="13"/>
        <v>0.15007898894154814</v>
      </c>
      <c r="P89" s="58">
        <f t="shared" si="14"/>
        <v>99</v>
      </c>
      <c r="Q89" s="66">
        <f t="shared" si="15"/>
        <v>169</v>
      </c>
      <c r="R89" s="58">
        <f t="shared" si="16"/>
        <v>163</v>
      </c>
      <c r="S89" s="67">
        <f t="shared" si="17"/>
        <v>9</v>
      </c>
      <c r="T89" s="23" t="s">
        <v>26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 s="6"/>
    </row>
    <row r="90" spans="1:156" s="1" customFormat="1" ht="29.45">
      <c r="A90" s="17">
        <v>89</v>
      </c>
      <c r="B90" s="18" t="s">
        <v>306</v>
      </c>
      <c r="C90" s="19" t="s">
        <v>307</v>
      </c>
      <c r="D90" s="23" t="s">
        <v>180</v>
      </c>
      <c r="E90" s="24" t="s">
        <v>181</v>
      </c>
      <c r="F90" s="56">
        <f>MROUND(IF(TRIM(T90)="ATHE", D90*0.75, IF(TRIM(T90)="Focus Awards", D90*0.6, D90*0.7)) + 1, 10) - 1</f>
        <v>1429</v>
      </c>
      <c r="G90" s="22">
        <f t="shared" si="9"/>
        <v>0.40021063717746186</v>
      </c>
      <c r="H90" s="51">
        <f t="shared" si="10"/>
        <v>0.24749868351764082</v>
      </c>
      <c r="I90" s="23" t="s">
        <v>182</v>
      </c>
      <c r="J90" s="23" t="s">
        <v>183</v>
      </c>
      <c r="K90" s="58">
        <f>MROUND(IF(TRIM(T90)="ATHE", I90*0.75, IF(TRIM(T90)="Focus Awards", I90*0.6, I90*0.7)) + 1, 10) - 1</f>
        <v>1709</v>
      </c>
      <c r="L90" s="61">
        <f t="shared" si="11"/>
        <v>0.3992979376919702</v>
      </c>
      <c r="M90" s="65">
        <f t="shared" si="12"/>
        <v>0.2501096972356297</v>
      </c>
      <c r="N90" s="58">
        <f>ROUND(IF(TRIM(T90)="ATHE", VALUE(SUBSTITUTE(SUBSTITUTE(D90,"£",""),",",""))*0.85, VALUE(SUBSTITUTE(SUBSTITUTE(D90,"£",""),",",""))*0.8), 0)</f>
        <v>1614</v>
      </c>
      <c r="O90" s="65">
        <f t="shared" si="13"/>
        <v>0.15007898894154814</v>
      </c>
      <c r="P90" s="58">
        <f t="shared" si="14"/>
        <v>99</v>
      </c>
      <c r="Q90" s="66">
        <f t="shared" si="15"/>
        <v>169</v>
      </c>
      <c r="R90" s="58">
        <f t="shared" si="16"/>
        <v>163</v>
      </c>
      <c r="S90" s="67">
        <f t="shared" si="17"/>
        <v>9</v>
      </c>
      <c r="T90" s="23" t="s">
        <v>26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 s="6"/>
    </row>
    <row r="91" spans="1:156" s="1" customFormat="1" ht="29.45">
      <c r="A91" s="23">
        <v>90</v>
      </c>
      <c r="B91" s="18" t="s">
        <v>308</v>
      </c>
      <c r="C91" s="19" t="s">
        <v>309</v>
      </c>
      <c r="D91" s="23" t="s">
        <v>180</v>
      </c>
      <c r="E91" s="24" t="s">
        <v>181</v>
      </c>
      <c r="F91" s="56">
        <f>MROUND(IF(TRIM(T91)="ATHE", D91*0.75, IF(TRIM(T91)="Focus Awards", D91*0.6, D91*0.7)) + 1, 10) - 1</f>
        <v>1429</v>
      </c>
      <c r="G91" s="22">
        <f t="shared" si="9"/>
        <v>0.40021063717746186</v>
      </c>
      <c r="H91" s="51">
        <f t="shared" si="10"/>
        <v>0.24749868351764082</v>
      </c>
      <c r="I91" s="23" t="s">
        <v>182</v>
      </c>
      <c r="J91" s="23" t="s">
        <v>183</v>
      </c>
      <c r="K91" s="58">
        <f>MROUND(IF(TRIM(T91)="ATHE", I91*0.75, IF(TRIM(T91)="Focus Awards", I91*0.6, I91*0.7)) + 1, 10) - 1</f>
        <v>1709</v>
      </c>
      <c r="L91" s="61">
        <f t="shared" si="11"/>
        <v>0.3992979376919702</v>
      </c>
      <c r="M91" s="65">
        <f t="shared" si="12"/>
        <v>0.2501096972356297</v>
      </c>
      <c r="N91" s="58">
        <f>ROUND(IF(TRIM(T91)="ATHE", VALUE(SUBSTITUTE(SUBSTITUTE(D91,"£",""),",",""))*0.85, VALUE(SUBSTITUTE(SUBSTITUTE(D91,"£",""),",",""))*0.8), 0)</f>
        <v>1614</v>
      </c>
      <c r="O91" s="65">
        <f t="shared" si="13"/>
        <v>0.15007898894154814</v>
      </c>
      <c r="P91" s="58">
        <f t="shared" si="14"/>
        <v>99</v>
      </c>
      <c r="Q91" s="66">
        <f t="shared" si="15"/>
        <v>169</v>
      </c>
      <c r="R91" s="58">
        <f t="shared" si="16"/>
        <v>163</v>
      </c>
      <c r="S91" s="67">
        <f t="shared" si="17"/>
        <v>9</v>
      </c>
      <c r="T91" s="23" t="s">
        <v>26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 s="6"/>
    </row>
    <row r="92" spans="1:156" s="1" customFormat="1" ht="29.45">
      <c r="A92" s="17">
        <v>91</v>
      </c>
      <c r="B92" s="18" t="s">
        <v>310</v>
      </c>
      <c r="C92" s="19" t="s">
        <v>311</v>
      </c>
      <c r="D92" s="23" t="s">
        <v>180</v>
      </c>
      <c r="E92" s="24" t="s">
        <v>181</v>
      </c>
      <c r="F92" s="56">
        <f>MROUND(IF(TRIM(T92)="ATHE", D92*0.75, IF(TRIM(T92)="Focus Awards", D92*0.6, D92*0.7)) + 1, 10) - 1</f>
        <v>1429</v>
      </c>
      <c r="G92" s="22">
        <f t="shared" si="9"/>
        <v>0.40021063717746186</v>
      </c>
      <c r="H92" s="51">
        <f t="shared" si="10"/>
        <v>0.24749868351764082</v>
      </c>
      <c r="I92" s="23" t="s">
        <v>182</v>
      </c>
      <c r="J92" s="23" t="s">
        <v>183</v>
      </c>
      <c r="K92" s="58">
        <f>MROUND(IF(TRIM(T92)="ATHE", I92*0.75, IF(TRIM(T92)="Focus Awards", I92*0.6, I92*0.7)) + 1, 10) - 1</f>
        <v>1709</v>
      </c>
      <c r="L92" s="61">
        <f t="shared" si="11"/>
        <v>0.3992979376919702</v>
      </c>
      <c r="M92" s="65">
        <f t="shared" si="12"/>
        <v>0.2501096972356297</v>
      </c>
      <c r="N92" s="58">
        <f>ROUND(IF(TRIM(T92)="ATHE", VALUE(SUBSTITUTE(SUBSTITUTE(D92,"£",""),",",""))*0.85, VALUE(SUBSTITUTE(SUBSTITUTE(D92,"£",""),",",""))*0.8), 0)</f>
        <v>1614</v>
      </c>
      <c r="O92" s="65">
        <f t="shared" si="13"/>
        <v>0.15007898894154814</v>
      </c>
      <c r="P92" s="58">
        <f t="shared" si="14"/>
        <v>99</v>
      </c>
      <c r="Q92" s="66">
        <f t="shared" si="15"/>
        <v>169</v>
      </c>
      <c r="R92" s="58">
        <f t="shared" si="16"/>
        <v>163</v>
      </c>
      <c r="S92" s="67">
        <f t="shared" si="17"/>
        <v>9</v>
      </c>
      <c r="T92" s="23" t="s">
        <v>26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 s="6"/>
    </row>
    <row r="93" spans="1:156" s="1" customFormat="1">
      <c r="A93" s="27">
        <v>92</v>
      </c>
      <c r="B93" s="28" t="s">
        <v>312</v>
      </c>
      <c r="C93" s="29" t="s">
        <v>313</v>
      </c>
      <c r="D93" s="30" t="s">
        <v>314</v>
      </c>
      <c r="E93" s="31" t="s">
        <v>315</v>
      </c>
      <c r="F93" s="56">
        <f>MROUND(IF(TRIM(T93)="ATHE", D93*0.75, IF(TRIM(T93)="Focus Awards", D93*0.6, D93*0.7)) + 1, 10) - 1</f>
        <v>349</v>
      </c>
      <c r="G93" s="32">
        <f t="shared" si="9"/>
        <v>0.39723661485319517</v>
      </c>
      <c r="H93" s="52">
        <f t="shared" si="10"/>
        <v>0.39723661485319517</v>
      </c>
      <c r="I93" s="30" t="s">
        <v>316</v>
      </c>
      <c r="J93" s="30" t="s">
        <v>317</v>
      </c>
      <c r="K93" s="58">
        <f>MROUND(IF(TRIM(T93)="ATHE", I93*0.75, IF(TRIM(T93)="Focus Awards", I93*0.6, I93*0.7)) + 1, 10) - 1</f>
        <v>419</v>
      </c>
      <c r="L93" s="61">
        <f t="shared" si="11"/>
        <v>0.40057224606580832</v>
      </c>
      <c r="M93" s="65">
        <f t="shared" si="12"/>
        <v>0.40057224606580832</v>
      </c>
      <c r="N93" s="58">
        <f>ROUND(IF(TRIM(T93)="ATHE", VALUE(SUBSTITUTE(SUBSTITUTE(D93,"£",""),",",""))*0.85, VALUE(SUBSTITUTE(SUBSTITUTE(D93,"£",""),",",""))*0.8), 0)</f>
        <v>463</v>
      </c>
      <c r="O93" s="65">
        <f t="shared" si="13"/>
        <v>0.20034542314335058</v>
      </c>
      <c r="P93" s="58">
        <f t="shared" si="14"/>
        <v>35</v>
      </c>
      <c r="Q93" s="66">
        <f t="shared" si="15"/>
        <v>72</v>
      </c>
      <c r="R93" s="58">
        <f t="shared" si="16"/>
        <v>68</v>
      </c>
      <c r="S93" s="67">
        <f t="shared" si="17"/>
        <v>6</v>
      </c>
      <c r="T93" s="27" t="s">
        <v>318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 s="6"/>
    </row>
    <row r="94" spans="1:156" s="1" customFormat="1" ht="29.45">
      <c r="A94" s="33">
        <v>93</v>
      </c>
      <c r="B94" s="28" t="s">
        <v>319</v>
      </c>
      <c r="C94" s="29" t="s">
        <v>320</v>
      </c>
      <c r="D94" s="30" t="s">
        <v>265</v>
      </c>
      <c r="E94" s="31" t="s">
        <v>321</v>
      </c>
      <c r="F94" s="56">
        <f>MROUND(IF(TRIM(T94)="ATHE", D94*0.75, IF(TRIM(T94)="Focus Awards", D94*0.6, D94*0.7)) + 1, 10) - 1</f>
        <v>239</v>
      </c>
      <c r="G94" s="32">
        <f t="shared" si="9"/>
        <v>0.40100250626566414</v>
      </c>
      <c r="H94" s="52">
        <f t="shared" si="10"/>
        <v>0.40100250626566414</v>
      </c>
      <c r="I94" s="30" t="s">
        <v>322</v>
      </c>
      <c r="J94" s="30" t="s">
        <v>323</v>
      </c>
      <c r="K94" s="58">
        <f>MROUND(IF(TRIM(T94)="ATHE", I94*0.75, IF(TRIM(T94)="Focus Awards", I94*0.6, I94*0.7)) + 1, 10) - 1</f>
        <v>289</v>
      </c>
      <c r="L94" s="61">
        <f t="shared" si="11"/>
        <v>0.39665970772442594</v>
      </c>
      <c r="M94" s="65">
        <f t="shared" si="12"/>
        <v>0.39665970772442594</v>
      </c>
      <c r="N94" s="58">
        <f>ROUND(IF(TRIM(T94)="ATHE", VALUE(SUBSTITUTE(SUBSTITUTE(D94,"£",""),",",""))*0.85, VALUE(SUBSTITUTE(SUBSTITUTE(D94,"£",""),",",""))*0.8), 0)</f>
        <v>319</v>
      </c>
      <c r="O94" s="65">
        <f t="shared" si="13"/>
        <v>0.20050125313283207</v>
      </c>
      <c r="P94" s="58">
        <f t="shared" si="14"/>
        <v>35</v>
      </c>
      <c r="Q94" s="66">
        <f t="shared" si="15"/>
        <v>48</v>
      </c>
      <c r="R94" s="58">
        <f t="shared" si="16"/>
        <v>44</v>
      </c>
      <c r="S94" s="67">
        <f t="shared" si="17"/>
        <v>6</v>
      </c>
      <c r="T94" s="27" t="s">
        <v>318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 s="6"/>
    </row>
    <row r="95" spans="1:156" s="1" customFormat="1" ht="29.45">
      <c r="A95" s="27">
        <v>94</v>
      </c>
      <c r="B95" s="28" t="s">
        <v>324</v>
      </c>
      <c r="C95" s="29" t="s">
        <v>325</v>
      </c>
      <c r="D95" s="30" t="s">
        <v>265</v>
      </c>
      <c r="E95" s="31" t="s">
        <v>321</v>
      </c>
      <c r="F95" s="56">
        <f>MROUND(IF(TRIM(T95)="ATHE", D95*0.75, IF(TRIM(T95)="Focus Awards", D95*0.6, D95*0.7)) + 1, 10) - 1</f>
        <v>239</v>
      </c>
      <c r="G95" s="32">
        <f t="shared" si="9"/>
        <v>0.40100250626566414</v>
      </c>
      <c r="H95" s="52">
        <f t="shared" si="10"/>
        <v>0.40100250626566414</v>
      </c>
      <c r="I95" s="30" t="s">
        <v>322</v>
      </c>
      <c r="J95" s="30" t="s">
        <v>323</v>
      </c>
      <c r="K95" s="58">
        <f>MROUND(IF(TRIM(T95)="ATHE", I95*0.75, IF(TRIM(T95)="Focus Awards", I95*0.6, I95*0.7)) + 1, 10) - 1</f>
        <v>289</v>
      </c>
      <c r="L95" s="61">
        <f t="shared" si="11"/>
        <v>0.39665970772442594</v>
      </c>
      <c r="M95" s="65">
        <f t="shared" si="12"/>
        <v>0.39665970772442594</v>
      </c>
      <c r="N95" s="58">
        <f>ROUND(IF(TRIM(T95)="ATHE", VALUE(SUBSTITUTE(SUBSTITUTE(D95,"£",""),",",""))*0.85, VALUE(SUBSTITUTE(SUBSTITUTE(D95,"£",""),",",""))*0.8), 0)</f>
        <v>319</v>
      </c>
      <c r="O95" s="65">
        <f t="shared" si="13"/>
        <v>0.20050125313283207</v>
      </c>
      <c r="P95" s="58">
        <f t="shared" si="14"/>
        <v>35</v>
      </c>
      <c r="Q95" s="66">
        <f t="shared" si="15"/>
        <v>48</v>
      </c>
      <c r="R95" s="58">
        <f t="shared" si="16"/>
        <v>44</v>
      </c>
      <c r="S95" s="67">
        <f t="shared" si="17"/>
        <v>6</v>
      </c>
      <c r="T95" s="27" t="s">
        <v>318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 s="6"/>
    </row>
    <row r="96" spans="1:156" s="1" customFormat="1">
      <c r="A96" s="33">
        <v>95</v>
      </c>
      <c r="B96" s="28" t="s">
        <v>326</v>
      </c>
      <c r="C96" s="29" t="s">
        <v>327</v>
      </c>
      <c r="D96" s="27" t="s">
        <v>328</v>
      </c>
      <c r="E96" s="34" t="s">
        <v>323</v>
      </c>
      <c r="F96" s="56">
        <f>MROUND(IF(TRIM(T96)="ATHE", D96*0.75, IF(TRIM(T96)="Focus Awards", D96*0.6, D96*0.7)) + 1, 10) - 1</f>
        <v>289</v>
      </c>
      <c r="G96" s="32">
        <f t="shared" si="9"/>
        <v>0.39665970772442594</v>
      </c>
      <c r="H96" s="52">
        <f t="shared" si="10"/>
        <v>0.39665970772442594</v>
      </c>
      <c r="I96" s="27" t="s">
        <v>314</v>
      </c>
      <c r="J96" s="27" t="s">
        <v>315</v>
      </c>
      <c r="K96" s="58">
        <f>MROUND(IF(TRIM(T96)="ATHE", I96*0.75, IF(TRIM(T96)="Focus Awards", I96*0.6, I96*0.7)) + 1, 10) - 1</f>
        <v>349</v>
      </c>
      <c r="L96" s="61">
        <f t="shared" si="11"/>
        <v>0.39723661485319517</v>
      </c>
      <c r="M96" s="65">
        <f t="shared" si="12"/>
        <v>0.39723661485319517</v>
      </c>
      <c r="N96" s="58">
        <f>ROUND(IF(TRIM(T96)="ATHE", VALUE(SUBSTITUTE(SUBSTITUTE(D96,"£",""),",",""))*0.85, VALUE(SUBSTITUTE(SUBSTITUTE(D96,"£",""),",",""))*0.8), 0)</f>
        <v>383</v>
      </c>
      <c r="O96" s="65">
        <f t="shared" si="13"/>
        <v>0.20041753653444672</v>
      </c>
      <c r="P96" s="58">
        <f t="shared" si="14"/>
        <v>35</v>
      </c>
      <c r="Q96" s="66">
        <f t="shared" si="15"/>
        <v>58</v>
      </c>
      <c r="R96" s="58">
        <f t="shared" si="16"/>
        <v>58</v>
      </c>
      <c r="S96" s="67">
        <f t="shared" si="17"/>
        <v>6</v>
      </c>
      <c r="T96" s="27" t="s">
        <v>318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 s="6"/>
    </row>
    <row r="97" spans="1:156" s="1" customFormat="1" ht="29.45">
      <c r="A97" s="27">
        <v>96</v>
      </c>
      <c r="B97" s="28" t="s">
        <v>329</v>
      </c>
      <c r="C97" s="29" t="s">
        <v>330</v>
      </c>
      <c r="D97" s="27" t="s">
        <v>331</v>
      </c>
      <c r="E97" s="34" t="s">
        <v>332</v>
      </c>
      <c r="F97" s="56">
        <f>MROUND(IF(TRIM(T97)="ATHE", D97*0.75, IF(TRIM(T97)="Focus Awards", D97*0.6, D97*0.7)) + 1, 10) - 1</f>
        <v>249</v>
      </c>
      <c r="G97" s="32">
        <f t="shared" si="9"/>
        <v>0.4</v>
      </c>
      <c r="H97" s="52">
        <f t="shared" si="10"/>
        <v>0.4</v>
      </c>
      <c r="I97" s="27" t="s">
        <v>48</v>
      </c>
      <c r="J97" s="27" t="s">
        <v>42</v>
      </c>
      <c r="K97" s="58">
        <f>MROUND(IF(TRIM(T97)="ATHE", I97*0.75, IF(TRIM(T97)="Focus Awards", I97*0.6, I97*0.7)) + 1, 10) - 1</f>
        <v>299</v>
      </c>
      <c r="L97" s="61">
        <f t="shared" si="11"/>
        <v>0.40080160320641278</v>
      </c>
      <c r="M97" s="65">
        <f t="shared" si="12"/>
        <v>0.40080160320641278</v>
      </c>
      <c r="N97" s="58">
        <f>ROUND(IF(TRIM(T97)="ATHE", VALUE(SUBSTITUTE(SUBSTITUTE(D97,"£",""),",",""))*0.85, VALUE(SUBSTITUTE(SUBSTITUTE(D97,"£",""),",",""))*0.8), 0)</f>
        <v>332</v>
      </c>
      <c r="O97" s="65">
        <f t="shared" si="13"/>
        <v>0.19999999999999996</v>
      </c>
      <c r="P97" s="58">
        <f t="shared" si="14"/>
        <v>35</v>
      </c>
      <c r="Q97" s="66">
        <f t="shared" si="15"/>
        <v>50</v>
      </c>
      <c r="R97" s="58">
        <f t="shared" si="16"/>
        <v>47</v>
      </c>
      <c r="S97" s="67">
        <f t="shared" si="17"/>
        <v>6</v>
      </c>
      <c r="T97" s="27" t="s">
        <v>318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 s="6"/>
    </row>
    <row r="98" spans="1:156" s="1" customFormat="1" ht="29.45">
      <c r="A98" s="33">
        <v>97</v>
      </c>
      <c r="B98" s="28" t="s">
        <v>333</v>
      </c>
      <c r="C98" s="29" t="s">
        <v>334</v>
      </c>
      <c r="D98" s="27" t="s">
        <v>322</v>
      </c>
      <c r="E98" s="34" t="s">
        <v>323</v>
      </c>
      <c r="F98" s="56">
        <f>MROUND(IF(TRIM(T98)="ATHE", D98*0.75, IF(TRIM(T98)="Focus Awards", D98*0.6, D98*0.7)) + 1, 10) - 1</f>
        <v>289</v>
      </c>
      <c r="G98" s="32">
        <f t="shared" si="9"/>
        <v>0.39665970772442594</v>
      </c>
      <c r="H98" s="52">
        <f t="shared" si="10"/>
        <v>0.39665970772442594</v>
      </c>
      <c r="I98" s="27" t="s">
        <v>314</v>
      </c>
      <c r="J98" s="27" t="s">
        <v>315</v>
      </c>
      <c r="K98" s="58">
        <f>MROUND(IF(TRIM(T98)="ATHE", I98*0.75, IF(TRIM(T98)="Focus Awards", I98*0.6, I98*0.7)) + 1, 10) - 1</f>
        <v>349</v>
      </c>
      <c r="L98" s="61">
        <f t="shared" si="11"/>
        <v>0.39723661485319517</v>
      </c>
      <c r="M98" s="65">
        <f t="shared" si="12"/>
        <v>0.39723661485319517</v>
      </c>
      <c r="N98" s="58">
        <f>ROUND(IF(TRIM(T98)="ATHE", VALUE(SUBSTITUTE(SUBSTITUTE(D98,"£",""),",",""))*0.85, VALUE(SUBSTITUTE(SUBSTITUTE(D98,"£",""),",",""))*0.8), 0)</f>
        <v>383</v>
      </c>
      <c r="O98" s="65">
        <f t="shared" si="13"/>
        <v>0.20041753653444672</v>
      </c>
      <c r="P98" s="58">
        <f t="shared" si="14"/>
        <v>35</v>
      </c>
      <c r="Q98" s="66">
        <f t="shared" si="15"/>
        <v>58</v>
      </c>
      <c r="R98" s="58">
        <f t="shared" si="16"/>
        <v>58</v>
      </c>
      <c r="S98" s="67">
        <f t="shared" si="17"/>
        <v>6</v>
      </c>
      <c r="T98" s="27" t="s">
        <v>318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 s="6"/>
    </row>
    <row r="99" spans="1:156" s="1" customFormat="1" ht="29.45">
      <c r="A99" s="27">
        <v>98</v>
      </c>
      <c r="B99" s="28" t="s">
        <v>335</v>
      </c>
      <c r="C99" s="29" t="s">
        <v>336</v>
      </c>
      <c r="D99" s="27" t="s">
        <v>337</v>
      </c>
      <c r="E99" s="34" t="s">
        <v>338</v>
      </c>
      <c r="F99" s="56">
        <f>MROUND(IF(TRIM(T99)="ATHE", D99*0.75, IF(TRIM(T99)="Focus Awards", D99*0.6, D99*0.7)) + 1, 10) - 1</f>
        <v>189</v>
      </c>
      <c r="G99" s="32">
        <f t="shared" si="9"/>
        <v>0.40752351097178685</v>
      </c>
      <c r="H99" s="52">
        <f t="shared" si="10"/>
        <v>0.40752351097178685</v>
      </c>
      <c r="I99" s="27" t="s">
        <v>339</v>
      </c>
      <c r="J99" s="27" t="s">
        <v>340</v>
      </c>
      <c r="K99" s="58">
        <f>MROUND(IF(TRIM(T99)="ATHE", I99*0.75, IF(TRIM(T99)="Focus Awards", I99*0.6, I99*0.7)) + 1, 10) - 1</f>
        <v>229</v>
      </c>
      <c r="L99" s="61">
        <f t="shared" si="11"/>
        <v>0.39577836411609502</v>
      </c>
      <c r="M99" s="65">
        <f t="shared" si="12"/>
        <v>0.39577836411609502</v>
      </c>
      <c r="N99" s="58">
        <f>ROUND(IF(TRIM(T99)="ATHE", VALUE(SUBSTITUTE(SUBSTITUTE(D99,"£",""),",",""))*0.85, VALUE(SUBSTITUTE(SUBSTITUTE(D99,"£",""),",",""))*0.8), 0)</f>
        <v>255</v>
      </c>
      <c r="O99" s="65">
        <f t="shared" si="13"/>
        <v>0.20062695924764895</v>
      </c>
      <c r="P99" s="58">
        <f t="shared" si="14"/>
        <v>35</v>
      </c>
      <c r="Q99" s="66">
        <f t="shared" si="15"/>
        <v>37</v>
      </c>
      <c r="R99" s="58">
        <f t="shared" si="16"/>
        <v>35</v>
      </c>
      <c r="S99" s="67">
        <f t="shared" si="17"/>
        <v>6</v>
      </c>
      <c r="T99" s="27" t="s">
        <v>318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 s="6"/>
    </row>
    <row r="100" spans="1:156" s="1" customFormat="1" ht="29.45">
      <c r="A100" s="33">
        <v>99</v>
      </c>
      <c r="B100" s="28" t="s">
        <v>341</v>
      </c>
      <c r="C100" s="29" t="s">
        <v>342</v>
      </c>
      <c r="D100" s="27" t="s">
        <v>322</v>
      </c>
      <c r="E100" s="34" t="s">
        <v>323</v>
      </c>
      <c r="F100" s="56">
        <f>MROUND(IF(TRIM(T100)="ATHE", D100*0.75, IF(TRIM(T100)="Focus Awards", D100*0.6, D100*0.7)) + 1, 10) - 1</f>
        <v>289</v>
      </c>
      <c r="G100" s="32">
        <f t="shared" si="9"/>
        <v>0.39665970772442594</v>
      </c>
      <c r="H100" s="52">
        <f t="shared" si="10"/>
        <v>0.39665970772442594</v>
      </c>
      <c r="I100" s="27" t="s">
        <v>314</v>
      </c>
      <c r="J100" s="27" t="s">
        <v>315</v>
      </c>
      <c r="K100" s="58">
        <f>MROUND(IF(TRIM(T100)="ATHE", I100*0.75, IF(TRIM(T100)="Focus Awards", I100*0.6, I100*0.7)) + 1, 10) - 1</f>
        <v>349</v>
      </c>
      <c r="L100" s="61">
        <f t="shared" si="11"/>
        <v>0.39723661485319517</v>
      </c>
      <c r="M100" s="65">
        <f t="shared" si="12"/>
        <v>0.39723661485319517</v>
      </c>
      <c r="N100" s="58">
        <f>ROUND(IF(TRIM(T100)="ATHE", VALUE(SUBSTITUTE(SUBSTITUTE(D100,"£",""),",",""))*0.85, VALUE(SUBSTITUTE(SUBSTITUTE(D100,"£",""),",",""))*0.8), 0)</f>
        <v>383</v>
      </c>
      <c r="O100" s="65">
        <f t="shared" si="13"/>
        <v>0.20041753653444672</v>
      </c>
      <c r="P100" s="58">
        <f t="shared" si="14"/>
        <v>35</v>
      </c>
      <c r="Q100" s="66">
        <f t="shared" si="15"/>
        <v>58</v>
      </c>
      <c r="R100" s="58">
        <f t="shared" si="16"/>
        <v>58</v>
      </c>
      <c r="S100" s="67">
        <f t="shared" si="17"/>
        <v>6</v>
      </c>
      <c r="T100" s="27" t="s">
        <v>318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 s="6"/>
    </row>
    <row r="101" spans="1:156" s="4" customFormat="1">
      <c r="A101" s="27">
        <v>100</v>
      </c>
      <c r="B101" s="28" t="s">
        <v>343</v>
      </c>
      <c r="C101" s="29" t="s">
        <v>344</v>
      </c>
      <c r="D101" s="27" t="s">
        <v>345</v>
      </c>
      <c r="E101" s="34" t="s">
        <v>346</v>
      </c>
      <c r="F101" s="56">
        <f>MROUND(IF(TRIM(T101)="ATHE", D101*0.75, IF(TRIM(T101)="Focus Awards", D101*0.6, D101*0.7)) + 1, 10) - 1</f>
        <v>589</v>
      </c>
      <c r="G101" s="32">
        <f t="shared" si="9"/>
        <v>0.39836567926455568</v>
      </c>
      <c r="H101" s="52">
        <f t="shared" si="10"/>
        <v>0.39836567926455568</v>
      </c>
      <c r="I101" s="27" t="s">
        <v>347</v>
      </c>
      <c r="J101" s="27" t="s">
        <v>348</v>
      </c>
      <c r="K101" s="58">
        <f>MROUND(IF(TRIM(T101)="ATHE", I101*0.75, IF(TRIM(T101)="Focus Awards", I101*0.6, I101*0.7)) + 1, 10) - 1</f>
        <v>709</v>
      </c>
      <c r="L101" s="61">
        <f t="shared" si="11"/>
        <v>0.3986429177268872</v>
      </c>
      <c r="M101" s="65">
        <f t="shared" si="12"/>
        <v>0.3986429177268872</v>
      </c>
      <c r="N101" s="58">
        <f>ROUND(IF(TRIM(T101)="ATHE", VALUE(SUBSTITUTE(SUBSTITUTE(D101,"£",""),",",""))*0.85, VALUE(SUBSTITUTE(SUBSTITUTE(D101,"£",""),",",""))*0.8), 0)</f>
        <v>783</v>
      </c>
      <c r="O101" s="65">
        <f t="shared" si="13"/>
        <v>0.20020429009193053</v>
      </c>
      <c r="P101" s="58">
        <f t="shared" si="14"/>
        <v>99</v>
      </c>
      <c r="Q101" s="66">
        <f t="shared" si="15"/>
        <v>76</v>
      </c>
      <c r="R101" s="58">
        <f t="shared" si="16"/>
        <v>76</v>
      </c>
      <c r="S101" s="67">
        <f t="shared" si="17"/>
        <v>9</v>
      </c>
      <c r="T101" s="27" t="s">
        <v>318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 s="8"/>
    </row>
    <row r="102" spans="1:156" s="1" customFormat="1">
      <c r="A102" s="33">
        <v>101</v>
      </c>
      <c r="B102" s="28" t="s">
        <v>349</v>
      </c>
      <c r="C102" s="29" t="s">
        <v>350</v>
      </c>
      <c r="D102" s="27" t="s">
        <v>345</v>
      </c>
      <c r="E102" s="34" t="s">
        <v>346</v>
      </c>
      <c r="F102" s="56">
        <f>MROUND(IF(TRIM(T102)="ATHE", D102*0.75, IF(TRIM(T102)="Focus Awards", D102*0.6, D102*0.7)) + 1, 10) - 1</f>
        <v>589</v>
      </c>
      <c r="G102" s="32">
        <f t="shared" si="9"/>
        <v>0.39836567926455568</v>
      </c>
      <c r="H102" s="52">
        <f t="shared" si="10"/>
        <v>0.39836567926455568</v>
      </c>
      <c r="I102" s="27" t="s">
        <v>347</v>
      </c>
      <c r="J102" s="27" t="s">
        <v>348</v>
      </c>
      <c r="K102" s="58">
        <f>MROUND(IF(TRIM(T102)="ATHE", I102*0.75, IF(TRIM(T102)="Focus Awards", I102*0.6, I102*0.7)) + 1, 10) - 1</f>
        <v>709</v>
      </c>
      <c r="L102" s="61">
        <f t="shared" si="11"/>
        <v>0.3986429177268872</v>
      </c>
      <c r="M102" s="65">
        <f t="shared" si="12"/>
        <v>0.3986429177268872</v>
      </c>
      <c r="N102" s="58">
        <f>ROUND(IF(TRIM(T102)="ATHE", VALUE(SUBSTITUTE(SUBSTITUTE(D102,"£",""),",",""))*0.85, VALUE(SUBSTITUTE(SUBSTITUTE(D102,"£",""),",",""))*0.8), 0)</f>
        <v>783</v>
      </c>
      <c r="O102" s="65">
        <f t="shared" si="13"/>
        <v>0.20020429009193053</v>
      </c>
      <c r="P102" s="58">
        <f t="shared" si="14"/>
        <v>99</v>
      </c>
      <c r="Q102" s="66">
        <f t="shared" si="15"/>
        <v>76</v>
      </c>
      <c r="R102" s="58">
        <f t="shared" si="16"/>
        <v>76</v>
      </c>
      <c r="S102" s="67">
        <f t="shared" si="17"/>
        <v>9</v>
      </c>
      <c r="T102" s="27" t="s">
        <v>318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 s="6"/>
    </row>
    <row r="103" spans="1:156" s="1" customFormat="1" ht="29.45">
      <c r="A103" s="27">
        <v>102</v>
      </c>
      <c r="B103" s="28" t="s">
        <v>351</v>
      </c>
      <c r="C103" s="29" t="s">
        <v>352</v>
      </c>
      <c r="D103" s="27" t="s">
        <v>314</v>
      </c>
      <c r="E103" s="34" t="s">
        <v>315</v>
      </c>
      <c r="F103" s="56">
        <f>MROUND(IF(TRIM(T103)="ATHE", D103*0.75, IF(TRIM(T103)="Focus Awards", D103*0.6, D103*0.7)) + 1, 10) - 1</f>
        <v>349</v>
      </c>
      <c r="G103" s="32">
        <f t="shared" si="9"/>
        <v>0.39723661485319517</v>
      </c>
      <c r="H103" s="52">
        <f t="shared" si="10"/>
        <v>0.39723661485319517</v>
      </c>
      <c r="I103" s="27" t="s">
        <v>316</v>
      </c>
      <c r="J103" s="27" t="s">
        <v>317</v>
      </c>
      <c r="K103" s="58">
        <f>MROUND(IF(TRIM(T103)="ATHE", I103*0.75, IF(TRIM(T103)="Focus Awards", I103*0.6, I103*0.7)) + 1, 10) - 1</f>
        <v>419</v>
      </c>
      <c r="L103" s="61">
        <f t="shared" si="11"/>
        <v>0.40057224606580832</v>
      </c>
      <c r="M103" s="65">
        <f t="shared" si="12"/>
        <v>0.40057224606580832</v>
      </c>
      <c r="N103" s="58">
        <f>ROUND(IF(TRIM(T103)="ATHE", VALUE(SUBSTITUTE(SUBSTITUTE(D103,"£",""),",",""))*0.85, VALUE(SUBSTITUTE(SUBSTITUTE(D103,"£",""),",",""))*0.8), 0)</f>
        <v>463</v>
      </c>
      <c r="O103" s="65">
        <f t="shared" si="13"/>
        <v>0.20034542314335058</v>
      </c>
      <c r="P103" s="58">
        <f t="shared" si="14"/>
        <v>35</v>
      </c>
      <c r="Q103" s="66">
        <f t="shared" si="15"/>
        <v>72</v>
      </c>
      <c r="R103" s="58">
        <f t="shared" si="16"/>
        <v>68</v>
      </c>
      <c r="S103" s="67">
        <f t="shared" si="17"/>
        <v>6</v>
      </c>
      <c r="T103" s="27" t="s">
        <v>318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 s="6"/>
    </row>
    <row r="104" spans="1:156" s="1" customFormat="1">
      <c r="A104" s="33">
        <v>103</v>
      </c>
      <c r="B104" s="28" t="s">
        <v>353</v>
      </c>
      <c r="C104" s="29" t="s">
        <v>354</v>
      </c>
      <c r="D104" s="27" t="s">
        <v>345</v>
      </c>
      <c r="E104" s="34" t="s">
        <v>346</v>
      </c>
      <c r="F104" s="56">
        <f>MROUND(IF(TRIM(T104)="ATHE", D104*0.75, IF(TRIM(T104)="Focus Awards", D104*0.6, D104*0.7)) + 1, 10) - 1</f>
        <v>589</v>
      </c>
      <c r="G104" s="32">
        <f t="shared" si="9"/>
        <v>0.39836567926455568</v>
      </c>
      <c r="H104" s="52">
        <f t="shared" si="10"/>
        <v>0.39836567926455568</v>
      </c>
      <c r="I104" s="27" t="s">
        <v>347</v>
      </c>
      <c r="J104" s="27" t="s">
        <v>348</v>
      </c>
      <c r="K104" s="58">
        <f>MROUND(IF(TRIM(T104)="ATHE", I104*0.75, IF(TRIM(T104)="Focus Awards", I104*0.6, I104*0.7)) + 1, 10) - 1</f>
        <v>709</v>
      </c>
      <c r="L104" s="61">
        <f t="shared" si="11"/>
        <v>0.3986429177268872</v>
      </c>
      <c r="M104" s="65">
        <f t="shared" si="12"/>
        <v>0.3986429177268872</v>
      </c>
      <c r="N104" s="58">
        <f>ROUND(IF(TRIM(T104)="ATHE", VALUE(SUBSTITUTE(SUBSTITUTE(D104,"£",""),",",""))*0.85, VALUE(SUBSTITUTE(SUBSTITUTE(D104,"£",""),",",""))*0.8), 0)</f>
        <v>783</v>
      </c>
      <c r="O104" s="65">
        <f t="shared" si="13"/>
        <v>0.20020429009193053</v>
      </c>
      <c r="P104" s="58">
        <f t="shared" si="14"/>
        <v>99</v>
      </c>
      <c r="Q104" s="66">
        <f t="shared" si="15"/>
        <v>76</v>
      </c>
      <c r="R104" s="58">
        <f t="shared" si="16"/>
        <v>76</v>
      </c>
      <c r="S104" s="67">
        <f t="shared" si="17"/>
        <v>9</v>
      </c>
      <c r="T104" s="27" t="s">
        <v>318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 s="6"/>
    </row>
    <row r="105" spans="1:156" s="1" customFormat="1" ht="29.45">
      <c r="A105" s="27">
        <v>104</v>
      </c>
      <c r="B105" s="28" t="s">
        <v>355</v>
      </c>
      <c r="C105" s="29" t="s">
        <v>356</v>
      </c>
      <c r="D105" s="27" t="s">
        <v>322</v>
      </c>
      <c r="E105" s="34" t="s">
        <v>323</v>
      </c>
      <c r="F105" s="56">
        <f>MROUND(IF(TRIM(T105)="ATHE", D105*0.75, IF(TRIM(T105)="Focus Awards", D105*0.6, D105*0.7)) + 1, 10) - 1</f>
        <v>289</v>
      </c>
      <c r="G105" s="32">
        <f t="shared" si="9"/>
        <v>0.39665970772442594</v>
      </c>
      <c r="H105" s="52">
        <f t="shared" si="10"/>
        <v>0.39665970772442594</v>
      </c>
      <c r="I105" s="27" t="s">
        <v>314</v>
      </c>
      <c r="J105" s="27" t="s">
        <v>315</v>
      </c>
      <c r="K105" s="58">
        <f>MROUND(IF(TRIM(T105)="ATHE", I105*0.75, IF(TRIM(T105)="Focus Awards", I105*0.6, I105*0.7)) + 1, 10) - 1</f>
        <v>349</v>
      </c>
      <c r="L105" s="61">
        <f t="shared" si="11"/>
        <v>0.39723661485319517</v>
      </c>
      <c r="M105" s="65">
        <f t="shared" si="12"/>
        <v>0.39723661485319517</v>
      </c>
      <c r="N105" s="58">
        <f>ROUND(IF(TRIM(T105)="ATHE", VALUE(SUBSTITUTE(SUBSTITUTE(D105,"£",""),",",""))*0.85, VALUE(SUBSTITUTE(SUBSTITUTE(D105,"£",""),",",""))*0.8), 0)</f>
        <v>383</v>
      </c>
      <c r="O105" s="65">
        <f t="shared" si="13"/>
        <v>0.20041753653444672</v>
      </c>
      <c r="P105" s="58">
        <f t="shared" si="14"/>
        <v>35</v>
      </c>
      <c r="Q105" s="66">
        <f t="shared" si="15"/>
        <v>58</v>
      </c>
      <c r="R105" s="58">
        <f t="shared" si="16"/>
        <v>58</v>
      </c>
      <c r="S105" s="67">
        <f t="shared" si="17"/>
        <v>6</v>
      </c>
      <c r="T105" s="27" t="s">
        <v>318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 s="6"/>
    </row>
    <row r="106" spans="1:156" s="1" customFormat="1" ht="29.45">
      <c r="A106" s="33">
        <v>105</v>
      </c>
      <c r="B106" s="28" t="s">
        <v>357</v>
      </c>
      <c r="C106" s="29" t="s">
        <v>358</v>
      </c>
      <c r="D106" s="27" t="s">
        <v>345</v>
      </c>
      <c r="E106" s="34" t="s">
        <v>346</v>
      </c>
      <c r="F106" s="56">
        <f>MROUND(IF(TRIM(T106)="ATHE", D106*0.75, IF(TRIM(T106)="Focus Awards", D106*0.6, D106*0.7)) + 1, 10) - 1</f>
        <v>589</v>
      </c>
      <c r="G106" s="32">
        <f t="shared" si="9"/>
        <v>0.39836567926455568</v>
      </c>
      <c r="H106" s="52">
        <f t="shared" si="10"/>
        <v>0.39836567926455568</v>
      </c>
      <c r="I106" s="27" t="s">
        <v>347</v>
      </c>
      <c r="J106" s="27" t="s">
        <v>348</v>
      </c>
      <c r="K106" s="58">
        <f>MROUND(IF(TRIM(T106)="ATHE", I106*0.75, IF(TRIM(T106)="Focus Awards", I106*0.6, I106*0.7)) + 1, 10) - 1</f>
        <v>709</v>
      </c>
      <c r="L106" s="61">
        <f t="shared" si="11"/>
        <v>0.3986429177268872</v>
      </c>
      <c r="M106" s="65">
        <f t="shared" si="12"/>
        <v>0.3986429177268872</v>
      </c>
      <c r="N106" s="58">
        <f>ROUND(IF(TRIM(T106)="ATHE", VALUE(SUBSTITUTE(SUBSTITUTE(D106,"£",""),",",""))*0.85, VALUE(SUBSTITUTE(SUBSTITUTE(D106,"£",""),",",""))*0.8), 0)</f>
        <v>783</v>
      </c>
      <c r="O106" s="65">
        <f t="shared" si="13"/>
        <v>0.20020429009193053</v>
      </c>
      <c r="P106" s="58">
        <f t="shared" si="14"/>
        <v>99</v>
      </c>
      <c r="Q106" s="66">
        <f t="shared" si="15"/>
        <v>76</v>
      </c>
      <c r="R106" s="58">
        <f t="shared" si="16"/>
        <v>76</v>
      </c>
      <c r="S106" s="67">
        <f t="shared" si="17"/>
        <v>9</v>
      </c>
      <c r="T106" s="27" t="s">
        <v>318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 s="6"/>
    </row>
    <row r="107" spans="1:156" s="1" customFormat="1" ht="29.45">
      <c r="A107" s="27">
        <v>106</v>
      </c>
      <c r="B107" s="28" t="s">
        <v>359</v>
      </c>
      <c r="C107" s="29" t="s">
        <v>360</v>
      </c>
      <c r="D107" s="27" t="s">
        <v>314</v>
      </c>
      <c r="E107" s="34" t="s">
        <v>315</v>
      </c>
      <c r="F107" s="56">
        <f>MROUND(IF(TRIM(T107)="ATHE", D107*0.75, IF(TRIM(T107)="Focus Awards", D107*0.6, D107*0.7)) + 1, 10) - 1</f>
        <v>349</v>
      </c>
      <c r="G107" s="32">
        <f t="shared" si="9"/>
        <v>0.39723661485319517</v>
      </c>
      <c r="H107" s="52">
        <f t="shared" si="10"/>
        <v>0.39723661485319517</v>
      </c>
      <c r="I107" s="27" t="s">
        <v>316</v>
      </c>
      <c r="J107" s="27" t="s">
        <v>317</v>
      </c>
      <c r="K107" s="58">
        <f>MROUND(IF(TRIM(T107)="ATHE", I107*0.75, IF(TRIM(T107)="Focus Awards", I107*0.6, I107*0.7)) + 1, 10) - 1</f>
        <v>419</v>
      </c>
      <c r="L107" s="61">
        <f t="shared" si="11"/>
        <v>0.40057224606580832</v>
      </c>
      <c r="M107" s="65">
        <f t="shared" si="12"/>
        <v>0.40057224606580832</v>
      </c>
      <c r="N107" s="58">
        <f>ROUND(IF(TRIM(T107)="ATHE", VALUE(SUBSTITUTE(SUBSTITUTE(D107,"£",""),",",""))*0.85, VALUE(SUBSTITUTE(SUBSTITUTE(D107,"£",""),",",""))*0.8), 0)</f>
        <v>463</v>
      </c>
      <c r="O107" s="65">
        <f t="shared" si="13"/>
        <v>0.20034542314335058</v>
      </c>
      <c r="P107" s="58">
        <f t="shared" si="14"/>
        <v>35</v>
      </c>
      <c r="Q107" s="66">
        <f t="shared" si="15"/>
        <v>72</v>
      </c>
      <c r="R107" s="58">
        <f t="shared" si="16"/>
        <v>68</v>
      </c>
      <c r="S107" s="67">
        <f t="shared" si="17"/>
        <v>6</v>
      </c>
      <c r="T107" s="27" t="s">
        <v>318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 s="6"/>
    </row>
    <row r="108" spans="1:156" s="1" customFormat="1">
      <c r="A108" s="33">
        <v>107</v>
      </c>
      <c r="B108" s="28" t="s">
        <v>361</v>
      </c>
      <c r="C108" s="29" t="s">
        <v>362</v>
      </c>
      <c r="D108" s="27" t="s">
        <v>144</v>
      </c>
      <c r="E108" s="34" t="s">
        <v>49</v>
      </c>
      <c r="F108" s="56">
        <f>MROUND(IF(TRIM(T108)="ATHE", D108*0.75, IF(TRIM(T108)="Focus Awards", D108*0.6, D108*0.7)) + 1, 10) - 1</f>
        <v>899</v>
      </c>
      <c r="G108" s="32">
        <f t="shared" si="9"/>
        <v>0.40026684456304207</v>
      </c>
      <c r="H108" s="52">
        <f t="shared" si="10"/>
        <v>0.40026684456304207</v>
      </c>
      <c r="I108" s="27" t="s">
        <v>145</v>
      </c>
      <c r="J108" s="27" t="s">
        <v>146</v>
      </c>
      <c r="K108" s="58">
        <f>MROUND(IF(TRIM(T108)="ATHE", I108*0.75, IF(TRIM(T108)="Focus Awards", I108*0.6, I108*0.7)) + 1, 10) - 1</f>
        <v>1079</v>
      </c>
      <c r="L108" s="61">
        <f t="shared" si="11"/>
        <v>0.4002223457476376</v>
      </c>
      <c r="M108" s="65">
        <f t="shared" si="12"/>
        <v>0.4002223457476376</v>
      </c>
      <c r="N108" s="58">
        <f>ROUND(IF(TRIM(T108)="ATHE", VALUE(SUBSTITUTE(SUBSTITUTE(D108,"£",""),",",""))*0.85, VALUE(SUBSTITUTE(SUBSTITUTE(D108,"£",""),",",""))*0.8), 0)</f>
        <v>1199</v>
      </c>
      <c r="O108" s="65">
        <f t="shared" si="13"/>
        <v>0.20013342228152098</v>
      </c>
      <c r="P108" s="58">
        <f t="shared" si="14"/>
        <v>99</v>
      </c>
      <c r="Q108" s="66">
        <f t="shared" si="15"/>
        <v>123</v>
      </c>
      <c r="R108" s="58">
        <f t="shared" si="16"/>
        <v>116</v>
      </c>
      <c r="S108" s="67">
        <f t="shared" si="17"/>
        <v>9</v>
      </c>
      <c r="T108" s="27" t="s">
        <v>318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 s="6"/>
    </row>
    <row r="109" spans="1:156" s="1" customFormat="1" ht="29.45">
      <c r="A109" s="27">
        <v>108</v>
      </c>
      <c r="B109" s="28" t="s">
        <v>363</v>
      </c>
      <c r="C109" s="29" t="s">
        <v>364</v>
      </c>
      <c r="D109" s="27" t="s">
        <v>144</v>
      </c>
      <c r="E109" s="34" t="s">
        <v>49</v>
      </c>
      <c r="F109" s="56">
        <f>MROUND(IF(TRIM(T109)="ATHE", D109*0.75, IF(TRIM(T109)="Focus Awards", D109*0.6, D109*0.7)) + 1, 10) - 1</f>
        <v>899</v>
      </c>
      <c r="G109" s="32">
        <f t="shared" si="9"/>
        <v>0.40026684456304207</v>
      </c>
      <c r="H109" s="52">
        <f t="shared" si="10"/>
        <v>0.40026684456304207</v>
      </c>
      <c r="I109" s="27" t="s">
        <v>145</v>
      </c>
      <c r="J109" s="27" t="s">
        <v>146</v>
      </c>
      <c r="K109" s="58">
        <f>MROUND(IF(TRIM(T109)="ATHE", I109*0.75, IF(TRIM(T109)="Focus Awards", I109*0.6, I109*0.7)) + 1, 10) - 1</f>
        <v>1079</v>
      </c>
      <c r="L109" s="61">
        <f t="shared" si="11"/>
        <v>0.4002223457476376</v>
      </c>
      <c r="M109" s="65">
        <f t="shared" si="12"/>
        <v>0.4002223457476376</v>
      </c>
      <c r="N109" s="58">
        <f>ROUND(IF(TRIM(T109)="ATHE", VALUE(SUBSTITUTE(SUBSTITUTE(D109,"£",""),",",""))*0.85, VALUE(SUBSTITUTE(SUBSTITUTE(D109,"£",""),",",""))*0.8), 0)</f>
        <v>1199</v>
      </c>
      <c r="O109" s="65">
        <f t="shared" si="13"/>
        <v>0.20013342228152098</v>
      </c>
      <c r="P109" s="58">
        <f t="shared" si="14"/>
        <v>99</v>
      </c>
      <c r="Q109" s="66">
        <f t="shared" si="15"/>
        <v>123</v>
      </c>
      <c r="R109" s="58">
        <f t="shared" si="16"/>
        <v>116</v>
      </c>
      <c r="S109" s="67">
        <f t="shared" si="17"/>
        <v>9</v>
      </c>
      <c r="T109" s="27" t="s">
        <v>318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 s="6"/>
    </row>
    <row r="110" spans="1:156" s="1" customFormat="1">
      <c r="A110" s="33">
        <v>109</v>
      </c>
      <c r="B110" s="28" t="s">
        <v>365</v>
      </c>
      <c r="C110" s="29" t="s">
        <v>366</v>
      </c>
      <c r="D110" s="27" t="s">
        <v>367</v>
      </c>
      <c r="E110" s="34" t="s">
        <v>368</v>
      </c>
      <c r="F110" s="56">
        <f>MROUND(IF(TRIM(T110)="ATHE", D110*0.75, IF(TRIM(T110)="Focus Awards", D110*0.6, D110*0.7)) + 1, 10) - 1</f>
        <v>529</v>
      </c>
      <c r="G110" s="32">
        <f t="shared" si="9"/>
        <v>0.3981797497155859</v>
      </c>
      <c r="H110" s="52">
        <f t="shared" si="10"/>
        <v>0.3981797497155859</v>
      </c>
      <c r="I110" s="27" t="s">
        <v>369</v>
      </c>
      <c r="J110" s="27" t="s">
        <v>370</v>
      </c>
      <c r="K110" s="58">
        <f>MROUND(IF(TRIM(T110)="ATHE", I110*0.75, IF(TRIM(T110)="Focus Awards", I110*0.6, I110*0.7)) + 1, 10) - 1</f>
        <v>639</v>
      </c>
      <c r="L110" s="61">
        <f t="shared" si="11"/>
        <v>0.39660056657223797</v>
      </c>
      <c r="M110" s="65">
        <f t="shared" si="12"/>
        <v>0.39660056657223797</v>
      </c>
      <c r="N110" s="58">
        <f>ROUND(IF(TRIM(T110)="ATHE", VALUE(SUBSTITUTE(SUBSTITUTE(D110,"£",""),",",""))*0.85, VALUE(SUBSTITUTE(SUBSTITUTE(D110,"£",""),",",""))*0.8), 0)</f>
        <v>703</v>
      </c>
      <c r="O110" s="65">
        <f t="shared" si="13"/>
        <v>0.20022753128555182</v>
      </c>
      <c r="P110" s="58">
        <f t="shared" si="14"/>
        <v>99</v>
      </c>
      <c r="Q110" s="66">
        <f t="shared" si="15"/>
        <v>68</v>
      </c>
      <c r="R110" s="58">
        <f t="shared" si="16"/>
        <v>60</v>
      </c>
      <c r="S110" s="67">
        <f t="shared" si="17"/>
        <v>9</v>
      </c>
      <c r="T110" s="27" t="s">
        <v>318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 s="6"/>
    </row>
    <row r="111" spans="1:156" s="1" customFormat="1" ht="29.45">
      <c r="A111" s="27">
        <v>110</v>
      </c>
      <c r="B111" s="28" t="s">
        <v>371</v>
      </c>
      <c r="C111" s="29" t="s">
        <v>372</v>
      </c>
      <c r="D111" s="27" t="s">
        <v>373</v>
      </c>
      <c r="E111" s="34" t="s">
        <v>374</v>
      </c>
      <c r="F111" s="56">
        <f>MROUND(IF(TRIM(T111)="ATHE", D111*0.75, IF(TRIM(T111)="Focus Awards", D111*0.6, D111*0.7)) + 1, 10) - 1</f>
        <v>799</v>
      </c>
      <c r="G111" s="32">
        <f t="shared" si="9"/>
        <v>0.39879608728367189</v>
      </c>
      <c r="H111" s="52">
        <f t="shared" si="10"/>
        <v>0.39879608728367189</v>
      </c>
      <c r="I111" s="27" t="s">
        <v>375</v>
      </c>
      <c r="J111" s="27" t="s">
        <v>100</v>
      </c>
      <c r="K111" s="58">
        <f>MROUND(IF(TRIM(T111)="ATHE", I111*0.75, IF(TRIM(T111)="Focus Awards", I111*0.6, I111*0.7)) + 1, 10) - 1</f>
        <v>959</v>
      </c>
      <c r="L111" s="61">
        <f t="shared" si="11"/>
        <v>0.40025015634771732</v>
      </c>
      <c r="M111" s="65">
        <f t="shared" si="12"/>
        <v>0.40025015634771732</v>
      </c>
      <c r="N111" s="58">
        <f>ROUND(IF(TRIM(T111)="ATHE", VALUE(SUBSTITUTE(SUBSTITUTE(D111,"£",""),",",""))*0.85, VALUE(SUBSTITUTE(SUBSTITUTE(D111,"£",""),",",""))*0.8), 0)</f>
        <v>1063</v>
      </c>
      <c r="O111" s="65">
        <f t="shared" si="13"/>
        <v>0.20015048908954103</v>
      </c>
      <c r="P111" s="58">
        <f t="shared" si="14"/>
        <v>99</v>
      </c>
      <c r="Q111" s="66">
        <f t="shared" si="15"/>
        <v>108</v>
      </c>
      <c r="R111" s="58">
        <f t="shared" si="16"/>
        <v>100</v>
      </c>
      <c r="S111" s="67">
        <f t="shared" si="17"/>
        <v>9</v>
      </c>
      <c r="T111" s="27" t="s">
        <v>318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 s="6"/>
    </row>
    <row r="112" spans="1:156" s="1" customFormat="1" ht="29.45">
      <c r="A112" s="33">
        <v>111</v>
      </c>
      <c r="B112" s="28" t="s">
        <v>376</v>
      </c>
      <c r="C112" s="29" t="s">
        <v>377</v>
      </c>
      <c r="D112" s="27" t="s">
        <v>144</v>
      </c>
      <c r="E112" s="34" t="s">
        <v>49</v>
      </c>
      <c r="F112" s="56">
        <f>MROUND(IF(TRIM(T112)="ATHE", D112*0.75, IF(TRIM(T112)="Focus Awards", D112*0.6, D112*0.7)) + 1, 10) - 1</f>
        <v>899</v>
      </c>
      <c r="G112" s="32">
        <f t="shared" si="9"/>
        <v>0.40026684456304207</v>
      </c>
      <c r="H112" s="52">
        <f t="shared" si="10"/>
        <v>0.40026684456304207</v>
      </c>
      <c r="I112" s="27" t="s">
        <v>145</v>
      </c>
      <c r="J112" s="27" t="s">
        <v>146</v>
      </c>
      <c r="K112" s="58">
        <f>MROUND(IF(TRIM(T112)="ATHE", I112*0.75, IF(TRIM(T112)="Focus Awards", I112*0.6, I112*0.7)) + 1, 10) - 1</f>
        <v>1079</v>
      </c>
      <c r="L112" s="61">
        <f t="shared" si="11"/>
        <v>0.4002223457476376</v>
      </c>
      <c r="M112" s="65">
        <f t="shared" si="12"/>
        <v>0.4002223457476376</v>
      </c>
      <c r="N112" s="58">
        <f>ROUND(IF(TRIM(T112)="ATHE", VALUE(SUBSTITUTE(SUBSTITUTE(D112,"£",""),",",""))*0.85, VALUE(SUBSTITUTE(SUBSTITUTE(D112,"£",""),",",""))*0.8), 0)</f>
        <v>1199</v>
      </c>
      <c r="O112" s="65">
        <f t="shared" si="13"/>
        <v>0.20013342228152098</v>
      </c>
      <c r="P112" s="58">
        <f t="shared" si="14"/>
        <v>99</v>
      </c>
      <c r="Q112" s="66">
        <f t="shared" si="15"/>
        <v>123</v>
      </c>
      <c r="R112" s="58">
        <f t="shared" si="16"/>
        <v>116</v>
      </c>
      <c r="S112" s="67">
        <f t="shared" si="17"/>
        <v>9</v>
      </c>
      <c r="T112" s="27" t="s">
        <v>318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 s="6"/>
    </row>
    <row r="113" spans="1:156" s="1" customFormat="1">
      <c r="A113" s="27">
        <v>112</v>
      </c>
      <c r="B113" s="28" t="s">
        <v>378</v>
      </c>
      <c r="C113" s="29" t="s">
        <v>379</v>
      </c>
      <c r="D113" s="27" t="s">
        <v>373</v>
      </c>
      <c r="E113" s="34" t="s">
        <v>374</v>
      </c>
      <c r="F113" s="56">
        <f>MROUND(IF(TRIM(T113)="ATHE", D113*0.75, IF(TRIM(T113)="Focus Awards", D113*0.6, D113*0.7)) + 1, 10) - 1</f>
        <v>799</v>
      </c>
      <c r="G113" s="32">
        <f t="shared" si="9"/>
        <v>0.39879608728367189</v>
      </c>
      <c r="H113" s="52">
        <f t="shared" si="10"/>
        <v>0.39879608728367189</v>
      </c>
      <c r="I113" s="27" t="s">
        <v>375</v>
      </c>
      <c r="J113" s="27" t="s">
        <v>100</v>
      </c>
      <c r="K113" s="58">
        <f>MROUND(IF(TRIM(T113)="ATHE", I113*0.75, IF(TRIM(T113)="Focus Awards", I113*0.6, I113*0.7)) + 1, 10) - 1</f>
        <v>959</v>
      </c>
      <c r="L113" s="61">
        <f t="shared" si="11"/>
        <v>0.40025015634771732</v>
      </c>
      <c r="M113" s="65">
        <f t="shared" si="12"/>
        <v>0.40025015634771732</v>
      </c>
      <c r="N113" s="58">
        <f>ROUND(IF(TRIM(T113)="ATHE", VALUE(SUBSTITUTE(SUBSTITUTE(D113,"£",""),",",""))*0.85, VALUE(SUBSTITUTE(SUBSTITUTE(D113,"£",""),",",""))*0.8), 0)</f>
        <v>1063</v>
      </c>
      <c r="O113" s="65">
        <f t="shared" si="13"/>
        <v>0.20015048908954103</v>
      </c>
      <c r="P113" s="58">
        <f t="shared" si="14"/>
        <v>99</v>
      </c>
      <c r="Q113" s="66">
        <f t="shared" si="15"/>
        <v>108</v>
      </c>
      <c r="R113" s="58">
        <f t="shared" si="16"/>
        <v>100</v>
      </c>
      <c r="S113" s="67">
        <f t="shared" si="17"/>
        <v>9</v>
      </c>
      <c r="T113" s="27" t="s">
        <v>318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 s="6"/>
    </row>
    <row r="114" spans="1:156" s="1" customFormat="1">
      <c r="A114" s="33">
        <v>113</v>
      </c>
      <c r="B114" s="28" t="s">
        <v>380</v>
      </c>
      <c r="C114" s="29" t="s">
        <v>381</v>
      </c>
      <c r="D114" s="27" t="s">
        <v>89</v>
      </c>
      <c r="E114" s="34" t="s">
        <v>90</v>
      </c>
      <c r="F114" s="56">
        <f>MROUND(IF(TRIM(T114)="ATHE", D114*0.75, IF(TRIM(T114)="Focus Awards", D114*0.6, D114*0.7)) + 1, 10) - 1</f>
        <v>989</v>
      </c>
      <c r="G114" s="32">
        <f t="shared" si="9"/>
        <v>0.40024257125530627</v>
      </c>
      <c r="H114" s="52">
        <f t="shared" si="10"/>
        <v>0.40024257125530627</v>
      </c>
      <c r="I114" s="27" t="s">
        <v>91</v>
      </c>
      <c r="J114" s="27" t="s">
        <v>92</v>
      </c>
      <c r="K114" s="58">
        <f>MROUND(IF(TRIM(T114)="ATHE", I114*0.75, IF(TRIM(T114)="Focus Awards", I114*0.6, I114*0.7)) + 1, 10) - 1</f>
        <v>1189</v>
      </c>
      <c r="L114" s="61">
        <f t="shared" si="11"/>
        <v>0.39919151086407278</v>
      </c>
      <c r="M114" s="65">
        <f t="shared" si="12"/>
        <v>0.39919151086407278</v>
      </c>
      <c r="N114" s="58">
        <f>ROUND(IF(TRIM(T114)="ATHE", VALUE(SUBSTITUTE(SUBSTITUTE(D114,"£",""),",",""))*0.85, VALUE(SUBSTITUTE(SUBSTITUTE(D114,"£",""),",",""))*0.8), 0)</f>
        <v>1319</v>
      </c>
      <c r="O114" s="65">
        <f t="shared" si="13"/>
        <v>0.20012128562765308</v>
      </c>
      <c r="P114" s="58">
        <f t="shared" si="14"/>
        <v>99</v>
      </c>
      <c r="Q114" s="66">
        <f t="shared" si="15"/>
        <v>136</v>
      </c>
      <c r="R114" s="58">
        <f t="shared" si="16"/>
        <v>132</v>
      </c>
      <c r="S114" s="67">
        <f t="shared" si="17"/>
        <v>9</v>
      </c>
      <c r="T114" s="27" t="s">
        <v>318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 s="6"/>
    </row>
    <row r="115" spans="1:156" s="1" customFormat="1" ht="19.5" customHeight="1">
      <c r="A115" s="27">
        <v>114</v>
      </c>
      <c r="B115" s="28" t="s">
        <v>382</v>
      </c>
      <c r="C115" s="29" t="s">
        <v>383</v>
      </c>
      <c r="D115" s="27" t="s">
        <v>89</v>
      </c>
      <c r="E115" s="34" t="s">
        <v>90</v>
      </c>
      <c r="F115" s="56">
        <f>MROUND(IF(TRIM(T115)="ATHE", D115*0.75, IF(TRIM(T115)="Focus Awards", D115*0.6, D115*0.7)) + 1, 10) - 1</f>
        <v>989</v>
      </c>
      <c r="G115" s="32">
        <f t="shared" si="9"/>
        <v>0.40024257125530627</v>
      </c>
      <c r="H115" s="52">
        <f t="shared" si="10"/>
        <v>0.40024257125530627</v>
      </c>
      <c r="I115" s="27" t="s">
        <v>91</v>
      </c>
      <c r="J115" s="27" t="s">
        <v>92</v>
      </c>
      <c r="K115" s="58">
        <f>MROUND(IF(TRIM(T115)="ATHE", I115*0.75, IF(TRIM(T115)="Focus Awards", I115*0.6, I115*0.7)) + 1, 10) - 1</f>
        <v>1189</v>
      </c>
      <c r="L115" s="61">
        <f t="shared" si="11"/>
        <v>0.39919151086407278</v>
      </c>
      <c r="M115" s="65">
        <f t="shared" si="12"/>
        <v>0.39919151086407278</v>
      </c>
      <c r="N115" s="58">
        <f>ROUND(IF(TRIM(T115)="ATHE", VALUE(SUBSTITUTE(SUBSTITUTE(D115,"£",""),",",""))*0.85, VALUE(SUBSTITUTE(SUBSTITUTE(D115,"£",""),",",""))*0.8), 0)</f>
        <v>1319</v>
      </c>
      <c r="O115" s="65">
        <f t="shared" si="13"/>
        <v>0.20012128562765308</v>
      </c>
      <c r="P115" s="58">
        <f t="shared" si="14"/>
        <v>99</v>
      </c>
      <c r="Q115" s="66">
        <f t="shared" si="15"/>
        <v>136</v>
      </c>
      <c r="R115" s="58">
        <f t="shared" si="16"/>
        <v>132</v>
      </c>
      <c r="S115" s="67">
        <f t="shared" si="17"/>
        <v>9</v>
      </c>
      <c r="T115" s="27" t="s">
        <v>318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 s="6"/>
    </row>
    <row r="116" spans="1:156" s="1" customFormat="1" ht="18" customHeight="1">
      <c r="A116" s="33">
        <v>115</v>
      </c>
      <c r="B116" s="28" t="s">
        <v>384</v>
      </c>
      <c r="C116" s="29" t="s">
        <v>385</v>
      </c>
      <c r="D116" s="27" t="s">
        <v>144</v>
      </c>
      <c r="E116" s="34" t="s">
        <v>49</v>
      </c>
      <c r="F116" s="56">
        <f>MROUND(IF(TRIM(T116)="ATHE", D116*0.75, IF(TRIM(T116)="Focus Awards", D116*0.6, D116*0.7)) + 1, 10) - 1</f>
        <v>899</v>
      </c>
      <c r="G116" s="32">
        <f t="shared" si="9"/>
        <v>0.40026684456304207</v>
      </c>
      <c r="H116" s="52">
        <f t="shared" si="10"/>
        <v>0.40026684456304207</v>
      </c>
      <c r="I116" s="27" t="s">
        <v>145</v>
      </c>
      <c r="J116" s="27" t="s">
        <v>146</v>
      </c>
      <c r="K116" s="58">
        <f>MROUND(IF(TRIM(T116)="ATHE", I116*0.75, IF(TRIM(T116)="Focus Awards", I116*0.6, I116*0.7)) + 1, 10) - 1</f>
        <v>1079</v>
      </c>
      <c r="L116" s="61">
        <f t="shared" si="11"/>
        <v>0.4002223457476376</v>
      </c>
      <c r="M116" s="65">
        <f t="shared" si="12"/>
        <v>0.4002223457476376</v>
      </c>
      <c r="N116" s="58">
        <f>ROUND(IF(TRIM(T116)="ATHE", VALUE(SUBSTITUTE(SUBSTITUTE(D116,"£",""),",",""))*0.85, VALUE(SUBSTITUTE(SUBSTITUTE(D116,"£",""),",",""))*0.8), 0)</f>
        <v>1199</v>
      </c>
      <c r="O116" s="65">
        <f t="shared" si="13"/>
        <v>0.20013342228152098</v>
      </c>
      <c r="P116" s="58">
        <f t="shared" si="14"/>
        <v>99</v>
      </c>
      <c r="Q116" s="66">
        <f t="shared" si="15"/>
        <v>123</v>
      </c>
      <c r="R116" s="58">
        <f t="shared" si="16"/>
        <v>116</v>
      </c>
      <c r="S116" s="67">
        <f t="shared" si="17"/>
        <v>9</v>
      </c>
      <c r="T116" s="27" t="s">
        <v>318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 s="6"/>
    </row>
    <row r="117" spans="1:156" s="1" customFormat="1" ht="29.45">
      <c r="A117" s="27">
        <v>116</v>
      </c>
      <c r="B117" s="28" t="s">
        <v>386</v>
      </c>
      <c r="C117" s="29" t="s">
        <v>387</v>
      </c>
      <c r="D117" s="27" t="s">
        <v>388</v>
      </c>
      <c r="E117" s="34" t="s">
        <v>265</v>
      </c>
      <c r="F117" s="56">
        <f>MROUND(IF(TRIM(T117)="ATHE", D117*0.75, IF(TRIM(T117)="Focus Awards", D117*0.6, D117*0.7)) + 1, 10) - 1</f>
        <v>399</v>
      </c>
      <c r="G117" s="32">
        <f t="shared" si="9"/>
        <v>0.4035874439461884</v>
      </c>
      <c r="H117" s="52">
        <f t="shared" si="10"/>
        <v>0.4035874439461884</v>
      </c>
      <c r="I117" s="27" t="s">
        <v>374</v>
      </c>
      <c r="J117" s="27" t="s">
        <v>322</v>
      </c>
      <c r="K117" s="58">
        <f>MROUND(IF(TRIM(T117)="ATHE", I117*0.75, IF(TRIM(T117)="Focus Awards", I117*0.6, I117*0.7)) + 1, 10) - 1</f>
        <v>479</v>
      </c>
      <c r="L117" s="61">
        <f t="shared" si="11"/>
        <v>0.40050062578222778</v>
      </c>
      <c r="M117" s="65">
        <f t="shared" si="12"/>
        <v>0.40050062578222778</v>
      </c>
      <c r="N117" s="58">
        <f>ROUND(IF(TRIM(T117)="ATHE", VALUE(SUBSTITUTE(SUBSTITUTE(D117,"£",""),",",""))*0.85, VALUE(SUBSTITUTE(SUBSTITUTE(D117,"£",""),",",""))*0.8), 0)</f>
        <v>535</v>
      </c>
      <c r="O117" s="65">
        <f t="shared" si="13"/>
        <v>0.20029895366218231</v>
      </c>
      <c r="P117" s="58">
        <f t="shared" si="14"/>
        <v>35</v>
      </c>
      <c r="Q117" s="66">
        <f t="shared" si="15"/>
        <v>84</v>
      </c>
      <c r="R117" s="58">
        <f t="shared" si="16"/>
        <v>80</v>
      </c>
      <c r="S117" s="67">
        <f t="shared" si="17"/>
        <v>6</v>
      </c>
      <c r="T117" s="27" t="s">
        <v>318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 s="6"/>
    </row>
    <row r="118" spans="1:156" s="1" customFormat="1">
      <c r="A118" s="33">
        <v>117</v>
      </c>
      <c r="B118" s="28" t="s">
        <v>389</v>
      </c>
      <c r="C118" s="29" t="s">
        <v>390</v>
      </c>
      <c r="D118" s="27" t="s">
        <v>89</v>
      </c>
      <c r="E118" s="34" t="s">
        <v>90</v>
      </c>
      <c r="F118" s="56">
        <f>MROUND(IF(TRIM(T118)="ATHE", D118*0.75, IF(TRIM(T118)="Focus Awards", D118*0.6, D118*0.7)) + 1, 10) - 1</f>
        <v>989</v>
      </c>
      <c r="G118" s="32">
        <f t="shared" si="9"/>
        <v>0.40024257125530627</v>
      </c>
      <c r="H118" s="52">
        <f t="shared" si="10"/>
        <v>0.40024257125530627</v>
      </c>
      <c r="I118" s="27" t="s">
        <v>91</v>
      </c>
      <c r="J118" s="27" t="s">
        <v>92</v>
      </c>
      <c r="K118" s="58">
        <f>MROUND(IF(TRIM(T118)="ATHE", I118*0.75, IF(TRIM(T118)="Focus Awards", I118*0.6, I118*0.7)) + 1, 10) - 1</f>
        <v>1189</v>
      </c>
      <c r="L118" s="61">
        <f t="shared" si="11"/>
        <v>0.39919151086407278</v>
      </c>
      <c r="M118" s="65">
        <f t="shared" si="12"/>
        <v>0.39919151086407278</v>
      </c>
      <c r="N118" s="58">
        <f>ROUND(IF(TRIM(T118)="ATHE", VALUE(SUBSTITUTE(SUBSTITUTE(D118,"£",""),",",""))*0.85, VALUE(SUBSTITUTE(SUBSTITUTE(D118,"£",""),",",""))*0.8), 0)</f>
        <v>1319</v>
      </c>
      <c r="O118" s="65">
        <f t="shared" si="13"/>
        <v>0.20012128562765308</v>
      </c>
      <c r="P118" s="58">
        <f t="shared" si="14"/>
        <v>99</v>
      </c>
      <c r="Q118" s="66">
        <f t="shared" si="15"/>
        <v>136</v>
      </c>
      <c r="R118" s="58">
        <f t="shared" si="16"/>
        <v>132</v>
      </c>
      <c r="S118" s="67">
        <f t="shared" si="17"/>
        <v>9</v>
      </c>
      <c r="T118" s="27" t="s">
        <v>318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 s="6"/>
    </row>
    <row r="119" spans="1:156" s="1" customFormat="1" ht="19.5" customHeight="1">
      <c r="A119" s="27">
        <v>118</v>
      </c>
      <c r="B119" s="28" t="s">
        <v>391</v>
      </c>
      <c r="C119" s="29" t="s">
        <v>392</v>
      </c>
      <c r="D119" s="27" t="s">
        <v>89</v>
      </c>
      <c r="E119" s="34" t="s">
        <v>90</v>
      </c>
      <c r="F119" s="56">
        <f>MROUND(IF(TRIM(T119)="ATHE", D119*0.75, IF(TRIM(T119)="Focus Awards", D119*0.6, D119*0.7)) + 1, 10) - 1</f>
        <v>989</v>
      </c>
      <c r="G119" s="32">
        <f t="shared" si="9"/>
        <v>0.40024257125530627</v>
      </c>
      <c r="H119" s="52">
        <f t="shared" si="10"/>
        <v>0.40024257125530627</v>
      </c>
      <c r="I119" s="27" t="s">
        <v>91</v>
      </c>
      <c r="J119" s="27" t="s">
        <v>92</v>
      </c>
      <c r="K119" s="58">
        <f>MROUND(IF(TRIM(T119)="ATHE", I119*0.75, IF(TRIM(T119)="Focus Awards", I119*0.6, I119*0.7)) + 1, 10) - 1</f>
        <v>1189</v>
      </c>
      <c r="L119" s="61">
        <f t="shared" si="11"/>
        <v>0.39919151086407278</v>
      </c>
      <c r="M119" s="65">
        <f t="shared" si="12"/>
        <v>0.39919151086407278</v>
      </c>
      <c r="N119" s="58">
        <f>ROUND(IF(TRIM(T119)="ATHE", VALUE(SUBSTITUTE(SUBSTITUTE(D119,"£",""),",",""))*0.85, VALUE(SUBSTITUTE(SUBSTITUTE(D119,"£",""),",",""))*0.8), 0)</f>
        <v>1319</v>
      </c>
      <c r="O119" s="65">
        <f t="shared" si="13"/>
        <v>0.20012128562765308</v>
      </c>
      <c r="P119" s="58">
        <f t="shared" si="14"/>
        <v>99</v>
      </c>
      <c r="Q119" s="66">
        <f t="shared" si="15"/>
        <v>136</v>
      </c>
      <c r="R119" s="58">
        <f t="shared" si="16"/>
        <v>132</v>
      </c>
      <c r="S119" s="67">
        <f t="shared" si="17"/>
        <v>9</v>
      </c>
      <c r="T119" s="27" t="s">
        <v>318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 s="6"/>
    </row>
    <row r="120" spans="1:156" s="1" customFormat="1">
      <c r="A120" s="33">
        <v>119</v>
      </c>
      <c r="B120" s="28" t="s">
        <v>393</v>
      </c>
      <c r="C120" s="29" t="s">
        <v>394</v>
      </c>
      <c r="D120" s="27" t="s">
        <v>89</v>
      </c>
      <c r="E120" s="34" t="s">
        <v>90</v>
      </c>
      <c r="F120" s="56">
        <f>MROUND(IF(TRIM(T120)="ATHE", D120*0.75, IF(TRIM(T120)="Focus Awards", D120*0.6, D120*0.7)) + 1, 10) - 1</f>
        <v>989</v>
      </c>
      <c r="G120" s="32">
        <f t="shared" si="9"/>
        <v>0.40024257125530627</v>
      </c>
      <c r="H120" s="52">
        <f t="shared" si="10"/>
        <v>0.40024257125530627</v>
      </c>
      <c r="I120" s="27" t="s">
        <v>91</v>
      </c>
      <c r="J120" s="27" t="s">
        <v>92</v>
      </c>
      <c r="K120" s="58">
        <f>MROUND(IF(TRIM(T120)="ATHE", I120*0.75, IF(TRIM(T120)="Focus Awards", I120*0.6, I120*0.7)) + 1, 10) - 1</f>
        <v>1189</v>
      </c>
      <c r="L120" s="61">
        <f t="shared" si="11"/>
        <v>0.39919151086407278</v>
      </c>
      <c r="M120" s="65">
        <f t="shared" si="12"/>
        <v>0.39919151086407278</v>
      </c>
      <c r="N120" s="58">
        <f>ROUND(IF(TRIM(T120)="ATHE", VALUE(SUBSTITUTE(SUBSTITUTE(D120,"£",""),",",""))*0.85, VALUE(SUBSTITUTE(SUBSTITUTE(D120,"£",""),",",""))*0.8), 0)</f>
        <v>1319</v>
      </c>
      <c r="O120" s="65">
        <f t="shared" si="13"/>
        <v>0.20012128562765308</v>
      </c>
      <c r="P120" s="58">
        <f t="shared" si="14"/>
        <v>99</v>
      </c>
      <c r="Q120" s="66">
        <f t="shared" si="15"/>
        <v>136</v>
      </c>
      <c r="R120" s="58">
        <f t="shared" si="16"/>
        <v>132</v>
      </c>
      <c r="S120" s="67">
        <f t="shared" si="17"/>
        <v>9</v>
      </c>
      <c r="T120" s="27" t="s">
        <v>318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 s="6"/>
    </row>
    <row r="121" spans="1:156" s="1" customFormat="1">
      <c r="A121" s="27">
        <v>120</v>
      </c>
      <c r="B121" s="28" t="s">
        <v>395</v>
      </c>
      <c r="C121" s="29" t="s">
        <v>396</v>
      </c>
      <c r="D121" s="27" t="s">
        <v>89</v>
      </c>
      <c r="E121" s="34" t="s">
        <v>90</v>
      </c>
      <c r="F121" s="56">
        <f>MROUND(IF(TRIM(T121)="ATHE", D121*0.75, IF(TRIM(T121)="Focus Awards", D121*0.6, D121*0.7)) + 1, 10) - 1</f>
        <v>989</v>
      </c>
      <c r="G121" s="32">
        <f t="shared" si="9"/>
        <v>0.40024257125530627</v>
      </c>
      <c r="H121" s="52">
        <f t="shared" si="10"/>
        <v>0.40024257125530627</v>
      </c>
      <c r="I121" s="27" t="s">
        <v>91</v>
      </c>
      <c r="J121" s="27" t="s">
        <v>92</v>
      </c>
      <c r="K121" s="58">
        <f>MROUND(IF(TRIM(T121)="ATHE", I121*0.75, IF(TRIM(T121)="Focus Awards", I121*0.6, I121*0.7)) + 1, 10) - 1</f>
        <v>1189</v>
      </c>
      <c r="L121" s="61">
        <f t="shared" si="11"/>
        <v>0.39919151086407278</v>
      </c>
      <c r="M121" s="65">
        <f t="shared" si="12"/>
        <v>0.39919151086407278</v>
      </c>
      <c r="N121" s="58">
        <f>ROUND(IF(TRIM(T121)="ATHE", VALUE(SUBSTITUTE(SUBSTITUTE(D121,"£",""),",",""))*0.85, VALUE(SUBSTITUTE(SUBSTITUTE(D121,"£",""),",",""))*0.8), 0)</f>
        <v>1319</v>
      </c>
      <c r="O121" s="65">
        <f t="shared" si="13"/>
        <v>0.20012128562765308</v>
      </c>
      <c r="P121" s="58">
        <f t="shared" si="14"/>
        <v>99</v>
      </c>
      <c r="Q121" s="66">
        <f t="shared" si="15"/>
        <v>136</v>
      </c>
      <c r="R121" s="58">
        <f t="shared" si="16"/>
        <v>132</v>
      </c>
      <c r="S121" s="67">
        <f t="shared" si="17"/>
        <v>9</v>
      </c>
      <c r="T121" s="27" t="s">
        <v>318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 s="6"/>
    </row>
    <row r="122" spans="1:156" s="1" customFormat="1" ht="29.45">
      <c r="A122" s="33">
        <v>121</v>
      </c>
      <c r="B122" s="28" t="s">
        <v>397</v>
      </c>
      <c r="C122" s="29" t="s">
        <v>398</v>
      </c>
      <c r="D122" s="27" t="s">
        <v>89</v>
      </c>
      <c r="E122" s="34" t="s">
        <v>90</v>
      </c>
      <c r="F122" s="56">
        <f>MROUND(IF(TRIM(T122)="ATHE", D122*0.75, IF(TRIM(T122)="Focus Awards", D122*0.6, D122*0.7)) + 1, 10) - 1</f>
        <v>989</v>
      </c>
      <c r="G122" s="32">
        <f t="shared" si="9"/>
        <v>0.40024257125530627</v>
      </c>
      <c r="H122" s="52">
        <f t="shared" si="10"/>
        <v>0.40024257125530627</v>
      </c>
      <c r="I122" s="27" t="s">
        <v>91</v>
      </c>
      <c r="J122" s="27" t="s">
        <v>92</v>
      </c>
      <c r="K122" s="58">
        <f>MROUND(IF(TRIM(T122)="ATHE", I122*0.75, IF(TRIM(T122)="Focus Awards", I122*0.6, I122*0.7)) + 1, 10) - 1</f>
        <v>1189</v>
      </c>
      <c r="L122" s="61">
        <f t="shared" si="11"/>
        <v>0.39919151086407278</v>
      </c>
      <c r="M122" s="65">
        <f t="shared" si="12"/>
        <v>0.39919151086407278</v>
      </c>
      <c r="N122" s="58">
        <f>ROUND(IF(TRIM(T122)="ATHE", VALUE(SUBSTITUTE(SUBSTITUTE(D122,"£",""),",",""))*0.85, VALUE(SUBSTITUTE(SUBSTITUTE(D122,"£",""),",",""))*0.8), 0)</f>
        <v>1319</v>
      </c>
      <c r="O122" s="65">
        <f t="shared" si="13"/>
        <v>0.20012128562765308</v>
      </c>
      <c r="P122" s="58">
        <f t="shared" si="14"/>
        <v>99</v>
      </c>
      <c r="Q122" s="66">
        <f t="shared" si="15"/>
        <v>136</v>
      </c>
      <c r="R122" s="58">
        <f t="shared" si="16"/>
        <v>132</v>
      </c>
      <c r="S122" s="67">
        <f t="shared" si="17"/>
        <v>9</v>
      </c>
      <c r="T122" s="27" t="s">
        <v>318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 s="6"/>
    </row>
    <row r="123" spans="1:156" s="1" customFormat="1">
      <c r="A123" s="27">
        <v>122</v>
      </c>
      <c r="B123" s="28" t="s">
        <v>399</v>
      </c>
      <c r="C123" s="29" t="s">
        <v>400</v>
      </c>
      <c r="D123" s="27" t="s">
        <v>61</v>
      </c>
      <c r="E123" s="34" t="s">
        <v>62</v>
      </c>
      <c r="F123" s="56">
        <f>MROUND(IF(TRIM(T123)="ATHE", D123*0.75, IF(TRIM(T123)="Focus Awards", D123*0.6, D123*0.7)) + 1, 10) - 1</f>
        <v>949</v>
      </c>
      <c r="G123" s="32">
        <f t="shared" si="9"/>
        <v>0.39898670044331852</v>
      </c>
      <c r="H123" s="52">
        <f t="shared" si="10"/>
        <v>0.39898670044331852</v>
      </c>
      <c r="I123" s="27" t="s">
        <v>63</v>
      </c>
      <c r="J123" s="27" t="s">
        <v>64</v>
      </c>
      <c r="K123" s="58">
        <f>MROUND(IF(TRIM(T123)="ATHE", I123*0.75, IF(TRIM(T123)="Focus Awards", I123*0.6, I123*0.7)) + 1, 10) - 1</f>
        <v>1139</v>
      </c>
      <c r="L123" s="61">
        <f t="shared" si="11"/>
        <v>0.40021063717746186</v>
      </c>
      <c r="M123" s="65">
        <f t="shared" si="12"/>
        <v>0.40021063717746186</v>
      </c>
      <c r="N123" s="58">
        <f>ROUND(IF(TRIM(T123)="ATHE", VALUE(SUBSTITUTE(SUBSTITUTE(D123,"£",""),",",""))*0.85, VALUE(SUBSTITUTE(SUBSTITUTE(D123,"£",""),",",""))*0.8), 0)</f>
        <v>1263</v>
      </c>
      <c r="O123" s="65">
        <f t="shared" si="13"/>
        <v>0.20012666244458521</v>
      </c>
      <c r="P123" s="58">
        <f t="shared" si="14"/>
        <v>99</v>
      </c>
      <c r="Q123" s="66">
        <f t="shared" si="15"/>
        <v>130</v>
      </c>
      <c r="R123" s="58">
        <f t="shared" si="16"/>
        <v>124</v>
      </c>
      <c r="S123" s="67">
        <f t="shared" si="17"/>
        <v>9</v>
      </c>
      <c r="T123" s="27" t="s">
        <v>318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 s="6"/>
    </row>
    <row r="124" spans="1:156" s="1" customFormat="1" ht="29.45">
      <c r="A124" s="33">
        <v>123</v>
      </c>
      <c r="B124" s="28" t="s">
        <v>401</v>
      </c>
      <c r="C124" s="29" t="s">
        <v>402</v>
      </c>
      <c r="D124" s="27" t="s">
        <v>157</v>
      </c>
      <c r="E124" s="34" t="s">
        <v>158</v>
      </c>
      <c r="F124" s="56">
        <f>MROUND(IF(TRIM(T124)="ATHE", D124*0.75, IF(TRIM(T124)="Focus Awards", D124*0.6, D124*0.7)) + 1, 10) - 1</f>
        <v>1049</v>
      </c>
      <c r="G124" s="32">
        <f t="shared" si="9"/>
        <v>0.40022870211549455</v>
      </c>
      <c r="H124" s="52">
        <f t="shared" si="10"/>
        <v>0.40022870211549455</v>
      </c>
      <c r="I124" s="27" t="s">
        <v>159</v>
      </c>
      <c r="J124" s="27" t="s">
        <v>160</v>
      </c>
      <c r="K124" s="58">
        <f>MROUND(IF(TRIM(T124)="ATHE", I124*0.75, IF(TRIM(T124)="Focus Awards", I124*0.6, I124*0.7)) + 1, 10) - 1</f>
        <v>1259</v>
      </c>
      <c r="L124" s="61">
        <f t="shared" si="11"/>
        <v>0.40019056693663646</v>
      </c>
      <c r="M124" s="65">
        <f t="shared" si="12"/>
        <v>0.40019056693663646</v>
      </c>
      <c r="N124" s="58">
        <f>ROUND(IF(TRIM(T124)="ATHE", VALUE(SUBSTITUTE(SUBSTITUTE(D124,"£",""),",",""))*0.85, VALUE(SUBSTITUTE(SUBSTITUTE(D124,"£",""),",",""))*0.8), 0)</f>
        <v>1399</v>
      </c>
      <c r="O124" s="65">
        <f t="shared" si="13"/>
        <v>0.20011435105774733</v>
      </c>
      <c r="P124" s="58">
        <f t="shared" si="14"/>
        <v>99</v>
      </c>
      <c r="Q124" s="66">
        <f t="shared" si="15"/>
        <v>145</v>
      </c>
      <c r="R124" s="58">
        <f t="shared" si="16"/>
        <v>140</v>
      </c>
      <c r="S124" s="67">
        <f t="shared" si="17"/>
        <v>9</v>
      </c>
      <c r="T124" s="27" t="s">
        <v>318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 s="6"/>
    </row>
    <row r="125" spans="1:156" s="1" customFormat="1" ht="29.45">
      <c r="A125" s="27">
        <v>124</v>
      </c>
      <c r="B125" s="28" t="s">
        <v>403</v>
      </c>
      <c r="C125" s="29" t="s">
        <v>404</v>
      </c>
      <c r="D125" s="27" t="s">
        <v>50</v>
      </c>
      <c r="E125" s="34" t="s">
        <v>44</v>
      </c>
      <c r="F125" s="56">
        <f>MROUND(IF(TRIM(T125)="ATHE", D125*0.75, IF(TRIM(T125)="Focus Awards", D125*0.6, D125*0.7)) + 1, 10) - 1</f>
        <v>359</v>
      </c>
      <c r="G125" s="32">
        <f t="shared" si="9"/>
        <v>0.40066777963272115</v>
      </c>
      <c r="H125" s="52">
        <f t="shared" si="10"/>
        <v>0.40066777963272115</v>
      </c>
      <c r="I125" s="27" t="s">
        <v>221</v>
      </c>
      <c r="J125" s="27" t="s">
        <v>405</v>
      </c>
      <c r="K125" s="58">
        <f>MROUND(IF(TRIM(T125)="ATHE", I125*0.75, IF(TRIM(T125)="Focus Awards", I125*0.6, I125*0.7)) + 1, 10) - 1</f>
        <v>429</v>
      </c>
      <c r="L125" s="61">
        <f t="shared" si="11"/>
        <v>0.40333796940194711</v>
      </c>
      <c r="M125" s="65">
        <f t="shared" si="12"/>
        <v>0.40333796940194711</v>
      </c>
      <c r="N125" s="58">
        <f>ROUND(IF(TRIM(T125)="ATHE", VALUE(SUBSTITUTE(SUBSTITUTE(D125,"£",""),",",""))*0.85, VALUE(SUBSTITUTE(SUBSTITUTE(D125,"£",""),",",""))*0.8), 0)</f>
        <v>479</v>
      </c>
      <c r="O125" s="65">
        <f t="shared" si="13"/>
        <v>0.20033388981636058</v>
      </c>
      <c r="P125" s="58">
        <f t="shared" si="14"/>
        <v>35</v>
      </c>
      <c r="Q125" s="66">
        <f t="shared" si="15"/>
        <v>74</v>
      </c>
      <c r="R125" s="58">
        <f t="shared" si="16"/>
        <v>74</v>
      </c>
      <c r="S125" s="67">
        <f t="shared" si="17"/>
        <v>6</v>
      </c>
      <c r="T125" s="27" t="s">
        <v>318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 s="6"/>
    </row>
    <row r="126" spans="1:156" s="1" customFormat="1" ht="29.45">
      <c r="A126" s="33">
        <v>125</v>
      </c>
      <c r="B126" s="28" t="s">
        <v>406</v>
      </c>
      <c r="C126" s="29" t="s">
        <v>407</v>
      </c>
      <c r="D126" s="27" t="s">
        <v>22</v>
      </c>
      <c r="E126" s="34" t="s">
        <v>23</v>
      </c>
      <c r="F126" s="56">
        <f>MROUND(IF(TRIM(T126)="ATHE", D126*0.75, IF(TRIM(T126)="Focus Awards", D126*0.6, D126*0.7)) + 1, 10) - 1</f>
        <v>389</v>
      </c>
      <c r="G126" s="32">
        <f t="shared" si="9"/>
        <v>0.40061633281972264</v>
      </c>
      <c r="H126" s="52">
        <f t="shared" si="10"/>
        <v>0.40061633281972264</v>
      </c>
      <c r="I126" s="27" t="s">
        <v>24</v>
      </c>
      <c r="J126" s="27" t="s">
        <v>25</v>
      </c>
      <c r="K126" s="58">
        <f>MROUND(IF(TRIM(T126)="ATHE", I126*0.75, IF(TRIM(T126)="Focus Awards", I126*0.6, I126*0.7)) + 1, 10) - 1</f>
        <v>469</v>
      </c>
      <c r="L126" s="61">
        <f t="shared" si="11"/>
        <v>0.39794608472400517</v>
      </c>
      <c r="M126" s="65">
        <f t="shared" si="12"/>
        <v>0.39794608472400517</v>
      </c>
      <c r="N126" s="58">
        <f>ROUND(IF(TRIM(T126)="ATHE", VALUE(SUBSTITUTE(SUBSTITUTE(D126,"£",""),",",""))*0.85, VALUE(SUBSTITUTE(SUBSTITUTE(D126,"£",""),",",""))*0.8), 0)</f>
        <v>519</v>
      </c>
      <c r="O126" s="65">
        <f t="shared" si="13"/>
        <v>0.20030816640986138</v>
      </c>
      <c r="P126" s="58">
        <f t="shared" si="14"/>
        <v>35</v>
      </c>
      <c r="Q126" s="66">
        <f t="shared" si="15"/>
        <v>81</v>
      </c>
      <c r="R126" s="58">
        <f t="shared" si="16"/>
        <v>79</v>
      </c>
      <c r="S126" s="67">
        <f t="shared" si="17"/>
        <v>6</v>
      </c>
      <c r="T126" s="27" t="s">
        <v>318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 s="6"/>
    </row>
    <row r="127" spans="1:156" s="1" customFormat="1" ht="29.45">
      <c r="A127" s="27">
        <v>126</v>
      </c>
      <c r="B127" s="28" t="s">
        <v>408</v>
      </c>
      <c r="C127" s="29" t="s">
        <v>409</v>
      </c>
      <c r="D127" s="27" t="s">
        <v>337</v>
      </c>
      <c r="E127" s="34" t="s">
        <v>338</v>
      </c>
      <c r="F127" s="56">
        <f>MROUND(IF(TRIM(T127)="ATHE", D127*0.75, IF(TRIM(T127)="Focus Awards", D127*0.6, D127*0.7)) + 1, 10) - 1</f>
        <v>189</v>
      </c>
      <c r="G127" s="32">
        <f t="shared" si="9"/>
        <v>0.40752351097178685</v>
      </c>
      <c r="H127" s="52">
        <f t="shared" si="10"/>
        <v>0.40752351097178685</v>
      </c>
      <c r="I127" s="27" t="s">
        <v>339</v>
      </c>
      <c r="J127" s="27" t="s">
        <v>340</v>
      </c>
      <c r="K127" s="58">
        <f>MROUND(IF(TRIM(T127)="ATHE", I127*0.75, IF(TRIM(T127)="Focus Awards", I127*0.6, I127*0.7)) + 1, 10) - 1</f>
        <v>229</v>
      </c>
      <c r="L127" s="61">
        <f t="shared" si="11"/>
        <v>0.39577836411609502</v>
      </c>
      <c r="M127" s="65">
        <f t="shared" si="12"/>
        <v>0.39577836411609502</v>
      </c>
      <c r="N127" s="58">
        <f>ROUND(IF(TRIM(T127)="ATHE", VALUE(SUBSTITUTE(SUBSTITUTE(D127,"£",""),",",""))*0.85, VALUE(SUBSTITUTE(SUBSTITUTE(D127,"£",""),",",""))*0.8), 0)</f>
        <v>255</v>
      </c>
      <c r="O127" s="65">
        <f t="shared" si="13"/>
        <v>0.20062695924764895</v>
      </c>
      <c r="P127" s="58">
        <f t="shared" si="14"/>
        <v>35</v>
      </c>
      <c r="Q127" s="66">
        <f t="shared" si="15"/>
        <v>37</v>
      </c>
      <c r="R127" s="58">
        <f t="shared" si="16"/>
        <v>35</v>
      </c>
      <c r="S127" s="67">
        <f t="shared" si="17"/>
        <v>6</v>
      </c>
      <c r="T127" s="27" t="s">
        <v>318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 s="6"/>
    </row>
    <row r="128" spans="1:156" s="1" customFormat="1" ht="29.45">
      <c r="A128" s="33">
        <v>127</v>
      </c>
      <c r="B128" s="28" t="s">
        <v>410</v>
      </c>
      <c r="C128" s="29" t="s">
        <v>411</v>
      </c>
      <c r="D128" s="27" t="s">
        <v>116</v>
      </c>
      <c r="E128" s="34" t="s">
        <v>22</v>
      </c>
      <c r="F128" s="56">
        <f>MROUND(IF(TRIM(T128)="ATHE", D128*0.75, IF(TRIM(T128)="Focus Awards", D128*0.6, D128*0.7)) + 1, 10) - 1</f>
        <v>649</v>
      </c>
      <c r="G128" s="32">
        <f t="shared" si="9"/>
        <v>0.39851714550509731</v>
      </c>
      <c r="H128" s="52">
        <f t="shared" si="10"/>
        <v>0.39851714550509731</v>
      </c>
      <c r="I128" s="27" t="s">
        <v>118</v>
      </c>
      <c r="J128" s="27" t="s">
        <v>24</v>
      </c>
      <c r="K128" s="58">
        <f>MROUND(IF(TRIM(T128)="ATHE", I128*0.75, IF(TRIM(T128)="Focus Awards", I128*0.6, I128*0.7)) + 1, 10) - 1</f>
        <v>779</v>
      </c>
      <c r="L128" s="61">
        <f t="shared" si="11"/>
        <v>0.40030792917628943</v>
      </c>
      <c r="M128" s="65">
        <f t="shared" si="12"/>
        <v>0.40030792917628943</v>
      </c>
      <c r="N128" s="58">
        <f>ROUND(IF(TRIM(T128)="ATHE", VALUE(SUBSTITUTE(SUBSTITUTE(D128,"£",""),",",""))*0.85, VALUE(SUBSTITUTE(SUBSTITUTE(D128,"£",""),",",""))*0.8), 0)</f>
        <v>863</v>
      </c>
      <c r="O128" s="65">
        <f t="shared" si="13"/>
        <v>0.20018535681186289</v>
      </c>
      <c r="P128" s="58">
        <f t="shared" si="14"/>
        <v>99</v>
      </c>
      <c r="Q128" s="66">
        <f t="shared" si="15"/>
        <v>85</v>
      </c>
      <c r="R128" s="58">
        <f t="shared" si="16"/>
        <v>84</v>
      </c>
      <c r="S128" s="67">
        <f t="shared" si="17"/>
        <v>9</v>
      </c>
      <c r="T128" s="27" t="s">
        <v>318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 s="6"/>
    </row>
    <row r="129" spans="1:156" s="1" customFormat="1">
      <c r="A129" s="27">
        <v>128</v>
      </c>
      <c r="B129" s="28" t="s">
        <v>412</v>
      </c>
      <c r="C129" s="29" t="s">
        <v>413</v>
      </c>
      <c r="D129" s="27" t="s">
        <v>261</v>
      </c>
      <c r="E129" s="34" t="s">
        <v>265</v>
      </c>
      <c r="F129" s="56">
        <f>MROUND(IF(TRIM(T129)="ATHE", D129*0.75, IF(TRIM(T129)="Focus Awards", D129*0.6, D129*0.7)) + 1, 10) - 1</f>
        <v>399</v>
      </c>
      <c r="G129" s="32">
        <f t="shared" si="9"/>
        <v>0.3945371775417299</v>
      </c>
      <c r="H129" s="52">
        <f t="shared" si="10"/>
        <v>0.3945371775417299</v>
      </c>
      <c r="I129" s="27" t="s">
        <v>262</v>
      </c>
      <c r="J129" s="27" t="s">
        <v>25</v>
      </c>
      <c r="K129" s="58">
        <f>MROUND(IF(TRIM(T129)="ATHE", I129*0.75, IF(TRIM(T129)="Focus Awards", I129*0.6, I129*0.7)) + 1, 10) - 1</f>
        <v>469</v>
      </c>
      <c r="L129" s="61">
        <f t="shared" si="11"/>
        <v>0.40557667934093788</v>
      </c>
      <c r="M129" s="65">
        <f t="shared" si="12"/>
        <v>0.40557667934093788</v>
      </c>
      <c r="N129" s="58">
        <f>ROUND(IF(TRIM(T129)="ATHE", VALUE(SUBSTITUTE(SUBSTITUTE(D129,"£",""),",",""))*0.85, VALUE(SUBSTITUTE(SUBSTITUTE(D129,"£",""),",",""))*0.8), 0)</f>
        <v>527</v>
      </c>
      <c r="O129" s="65">
        <f t="shared" si="13"/>
        <v>0.20030349013657056</v>
      </c>
      <c r="P129" s="58">
        <f t="shared" si="14"/>
        <v>35</v>
      </c>
      <c r="Q129" s="66">
        <f t="shared" si="15"/>
        <v>82</v>
      </c>
      <c r="R129" s="58">
        <f t="shared" si="16"/>
        <v>82</v>
      </c>
      <c r="S129" s="67">
        <f t="shared" si="17"/>
        <v>6</v>
      </c>
      <c r="T129" s="27" t="s">
        <v>318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 s="6"/>
    </row>
    <row r="130" spans="1:156" s="1" customFormat="1">
      <c r="A130" s="33">
        <v>129</v>
      </c>
      <c r="B130" s="28" t="s">
        <v>414</v>
      </c>
      <c r="C130" s="29" t="s">
        <v>415</v>
      </c>
      <c r="D130" s="27" t="s">
        <v>374</v>
      </c>
      <c r="E130" s="34" t="s">
        <v>265</v>
      </c>
      <c r="F130" s="56">
        <f>MROUND(IF(TRIM(T130)="ATHE", D130*0.75, IF(TRIM(T130)="Focus Awards", D130*0.6, D130*0.7)) + 1, 10) - 1</f>
        <v>479</v>
      </c>
      <c r="G130" s="32">
        <f t="shared" si="9"/>
        <v>0.50062578222778475</v>
      </c>
      <c r="H130" s="52">
        <f t="shared" si="10"/>
        <v>0.40050062578222778</v>
      </c>
      <c r="I130" s="27" t="s">
        <v>100</v>
      </c>
      <c r="J130" s="27" t="s">
        <v>314</v>
      </c>
      <c r="K130" s="58">
        <f>MROUND(IF(TRIM(T130)="ATHE", I130*0.75, IF(TRIM(T130)="Focus Awards", I130*0.6, I130*0.7)) + 1, 10) - 1</f>
        <v>579</v>
      </c>
      <c r="L130" s="61">
        <f t="shared" si="11"/>
        <v>0.39624608967674657</v>
      </c>
      <c r="M130" s="65">
        <f t="shared" si="12"/>
        <v>0.39624608967674657</v>
      </c>
      <c r="N130" s="58">
        <f>ROUND(IF(TRIM(T130)="ATHE", VALUE(SUBSTITUTE(SUBSTITUTE(D130,"£",""),",",""))*0.85, VALUE(SUBSTITUTE(SUBSTITUTE(D130,"£",""),",",""))*0.8), 0)</f>
        <v>639</v>
      </c>
      <c r="O130" s="65">
        <f t="shared" si="13"/>
        <v>0.20025031289111395</v>
      </c>
      <c r="P130" s="58">
        <f t="shared" si="14"/>
        <v>99</v>
      </c>
      <c r="Q130" s="66">
        <f t="shared" si="15"/>
        <v>60</v>
      </c>
      <c r="R130" s="58">
        <f t="shared" si="16"/>
        <v>60</v>
      </c>
      <c r="S130" s="67">
        <f t="shared" si="17"/>
        <v>9</v>
      </c>
      <c r="T130" s="27" t="s">
        <v>318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 s="6"/>
    </row>
    <row r="131" spans="1:156" s="1" customFormat="1" ht="29.45">
      <c r="A131" s="27">
        <v>130</v>
      </c>
      <c r="B131" s="28" t="s">
        <v>416</v>
      </c>
      <c r="C131" s="29" t="s">
        <v>417</v>
      </c>
      <c r="D131" s="27" t="s">
        <v>76</v>
      </c>
      <c r="E131" s="34" t="s">
        <v>48</v>
      </c>
      <c r="F131" s="56">
        <f>MROUND(IF(TRIM(T131)="ATHE", D131*0.75, IF(TRIM(T131)="Focus Awards", D131*0.6, D131*0.7)) + 1, 10) - 1</f>
        <v>499</v>
      </c>
      <c r="G131" s="32">
        <f t="shared" ref="G131:G194" si="18">1-E131/D131</f>
        <v>0.39806996381182147</v>
      </c>
      <c r="H131" s="52">
        <f t="shared" ref="H131:H194" si="19">1-F131/D131</f>
        <v>0.39806996381182147</v>
      </c>
      <c r="I131" s="27" t="s">
        <v>172</v>
      </c>
      <c r="J131" s="27" t="s">
        <v>50</v>
      </c>
      <c r="K131" s="58">
        <f>MROUND(IF(TRIM(T131)="ATHE", I131*0.75, IF(TRIM(T131)="Focus Awards", I131*0.6, I131*0.7)) + 1, 10) - 1</f>
        <v>599</v>
      </c>
      <c r="L131" s="61">
        <f t="shared" ref="L131:L194" si="20">1-J131/I131</f>
        <v>0.40040040040040037</v>
      </c>
      <c r="M131" s="65">
        <f t="shared" ref="M131:M194" si="21">1-K131/I131</f>
        <v>0.40040040040040037</v>
      </c>
      <c r="N131" s="58">
        <f>ROUND(IF(TRIM(T131)="ATHE", VALUE(SUBSTITUTE(SUBSTITUTE(D131,"£",""),",",""))*0.85, VALUE(SUBSTITUTE(SUBSTITUTE(D131,"£",""),",",""))*0.8), 0)</f>
        <v>663</v>
      </c>
      <c r="O131" s="65">
        <f t="shared" ref="O131:O194" si="22">1-N131/D131</f>
        <v>0.20024125452352226</v>
      </c>
      <c r="P131" s="58">
        <f t="shared" ref="P131:P194" si="23">IF(K131&lt;500, 35, 99)</f>
        <v>99</v>
      </c>
      <c r="Q131" s="66">
        <f t="shared" ref="Q131:Q194" si="24">ROUNDUP((N131-P131)/S131, 0)</f>
        <v>63</v>
      </c>
      <c r="R131" s="58">
        <f t="shared" ref="R131:R194" si="25">(N131-P131) - (Q131 * (S131-1))</f>
        <v>60</v>
      </c>
      <c r="S131" s="67">
        <f t="shared" ref="S131:S194" si="26">IF(K131&lt;500, 6, 9)</f>
        <v>9</v>
      </c>
      <c r="T131" s="27" t="s">
        <v>318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 s="6"/>
    </row>
    <row r="132" spans="1:156" s="1" customFormat="1" ht="29.45">
      <c r="A132" s="33">
        <v>131</v>
      </c>
      <c r="B132" s="28" t="s">
        <v>418</v>
      </c>
      <c r="C132" s="29" t="s">
        <v>419</v>
      </c>
      <c r="D132" s="27" t="s">
        <v>172</v>
      </c>
      <c r="E132" s="34" t="s">
        <v>50</v>
      </c>
      <c r="F132" s="56">
        <f>MROUND(IF(TRIM(T132)="ATHE", D132*0.75, IF(TRIM(T132)="Focus Awards", D132*0.6, D132*0.7)) + 1, 10) - 1</f>
        <v>599</v>
      </c>
      <c r="G132" s="32">
        <f t="shared" si="18"/>
        <v>0.40040040040040037</v>
      </c>
      <c r="H132" s="52">
        <f t="shared" si="19"/>
        <v>0.40040040040040037</v>
      </c>
      <c r="I132" s="27" t="s">
        <v>220</v>
      </c>
      <c r="J132" s="27" t="s">
        <v>221</v>
      </c>
      <c r="K132" s="58">
        <f>MROUND(IF(TRIM(T132)="ATHE", I132*0.75, IF(TRIM(T132)="Focus Awards", I132*0.6, I132*0.7)) + 1, 10) - 1</f>
        <v>719</v>
      </c>
      <c r="L132" s="61">
        <f t="shared" si="20"/>
        <v>0.40033361134278567</v>
      </c>
      <c r="M132" s="65">
        <f t="shared" si="21"/>
        <v>0.40033361134278567</v>
      </c>
      <c r="N132" s="58">
        <f>ROUND(IF(TRIM(T132)="ATHE", VALUE(SUBSTITUTE(SUBSTITUTE(D132,"£",""),",",""))*0.85, VALUE(SUBSTITUTE(SUBSTITUTE(D132,"£",""),",",""))*0.8), 0)</f>
        <v>799</v>
      </c>
      <c r="O132" s="65">
        <f t="shared" si="22"/>
        <v>0.20020020020020024</v>
      </c>
      <c r="P132" s="58">
        <f t="shared" si="23"/>
        <v>99</v>
      </c>
      <c r="Q132" s="66">
        <f t="shared" si="24"/>
        <v>78</v>
      </c>
      <c r="R132" s="58">
        <f t="shared" si="25"/>
        <v>76</v>
      </c>
      <c r="S132" s="67">
        <f t="shared" si="26"/>
        <v>9</v>
      </c>
      <c r="T132" s="27" t="s">
        <v>318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 s="6"/>
    </row>
    <row r="133" spans="1:156" s="1" customFormat="1" ht="18" customHeight="1">
      <c r="A133" s="27">
        <v>132</v>
      </c>
      <c r="B133" s="28" t="s">
        <v>420</v>
      </c>
      <c r="C133" s="29" t="s">
        <v>421</v>
      </c>
      <c r="D133" s="27" t="s">
        <v>79</v>
      </c>
      <c r="E133" s="34" t="s">
        <v>80</v>
      </c>
      <c r="F133" s="56">
        <f>MROUND(IF(TRIM(T133)="ATHE", D133*0.75, IF(TRIM(T133)="Focus Awards", D133*0.6, D133*0.7)) + 1, 10) - 1</f>
        <v>929</v>
      </c>
      <c r="G133" s="32">
        <f t="shared" si="18"/>
        <v>0.40025823111684955</v>
      </c>
      <c r="H133" s="52">
        <f t="shared" si="19"/>
        <v>0.40025823111684955</v>
      </c>
      <c r="I133" s="27" t="s">
        <v>81</v>
      </c>
      <c r="J133" s="27" t="s">
        <v>82</v>
      </c>
      <c r="K133" s="58">
        <f>MROUND(IF(TRIM(T133)="ATHE", I133*0.75, IF(TRIM(T133)="Focus Awards", I133*0.6, I133*0.7)) + 1, 10) - 1</f>
        <v>1119</v>
      </c>
      <c r="L133" s="61">
        <f t="shared" si="20"/>
        <v>0.39806347498655192</v>
      </c>
      <c r="M133" s="65">
        <f t="shared" si="21"/>
        <v>0.39806347498655192</v>
      </c>
      <c r="N133" s="58">
        <f>ROUND(IF(TRIM(T133)="ATHE", VALUE(SUBSTITUTE(SUBSTITUTE(D133,"£",""),",",""))*0.85, VALUE(SUBSTITUTE(SUBSTITUTE(D133,"£",""),",",""))*0.8), 0)</f>
        <v>1239</v>
      </c>
      <c r="O133" s="65">
        <f t="shared" si="22"/>
        <v>0.20012911555842483</v>
      </c>
      <c r="P133" s="58">
        <f t="shared" si="23"/>
        <v>99</v>
      </c>
      <c r="Q133" s="66">
        <f t="shared" si="24"/>
        <v>127</v>
      </c>
      <c r="R133" s="58">
        <f t="shared" si="25"/>
        <v>124</v>
      </c>
      <c r="S133" s="67">
        <f t="shared" si="26"/>
        <v>9</v>
      </c>
      <c r="T133" s="27" t="s">
        <v>318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 s="6"/>
    </row>
    <row r="134" spans="1:156" s="1" customFormat="1" ht="20.25" customHeight="1">
      <c r="A134" s="33">
        <v>133</v>
      </c>
      <c r="B134" s="28" t="s">
        <v>422</v>
      </c>
      <c r="C134" s="29" t="s">
        <v>423</v>
      </c>
      <c r="D134" s="27" t="s">
        <v>157</v>
      </c>
      <c r="E134" s="34" t="s">
        <v>158</v>
      </c>
      <c r="F134" s="56">
        <f>MROUND(IF(TRIM(T134)="ATHE", D134*0.75, IF(TRIM(T134)="Focus Awards", D134*0.6, D134*0.7)) + 1, 10) - 1</f>
        <v>1049</v>
      </c>
      <c r="G134" s="32">
        <f t="shared" si="18"/>
        <v>0.40022870211549455</v>
      </c>
      <c r="H134" s="52">
        <f t="shared" si="19"/>
        <v>0.40022870211549455</v>
      </c>
      <c r="I134" s="27" t="s">
        <v>159</v>
      </c>
      <c r="J134" s="27" t="s">
        <v>160</v>
      </c>
      <c r="K134" s="58">
        <f>MROUND(IF(TRIM(T134)="ATHE", I134*0.75, IF(TRIM(T134)="Focus Awards", I134*0.6, I134*0.7)) + 1, 10) - 1</f>
        <v>1259</v>
      </c>
      <c r="L134" s="61">
        <f t="shared" si="20"/>
        <v>0.40019056693663646</v>
      </c>
      <c r="M134" s="65">
        <f t="shared" si="21"/>
        <v>0.40019056693663646</v>
      </c>
      <c r="N134" s="58">
        <f>ROUND(IF(TRIM(T134)="ATHE", VALUE(SUBSTITUTE(SUBSTITUTE(D134,"£",""),",",""))*0.85, VALUE(SUBSTITUTE(SUBSTITUTE(D134,"£",""),",",""))*0.8), 0)</f>
        <v>1399</v>
      </c>
      <c r="O134" s="65">
        <f t="shared" si="22"/>
        <v>0.20011435105774733</v>
      </c>
      <c r="P134" s="58">
        <f t="shared" si="23"/>
        <v>99</v>
      </c>
      <c r="Q134" s="66">
        <f t="shared" si="24"/>
        <v>145</v>
      </c>
      <c r="R134" s="58">
        <f t="shared" si="25"/>
        <v>140</v>
      </c>
      <c r="S134" s="67">
        <f t="shared" si="26"/>
        <v>9</v>
      </c>
      <c r="T134" s="27" t="s">
        <v>318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 s="6"/>
    </row>
    <row r="135" spans="1:156" s="1" customFormat="1" ht="29.45">
      <c r="A135" s="27">
        <v>134</v>
      </c>
      <c r="B135" s="35" t="s">
        <v>424</v>
      </c>
      <c r="C135" s="29" t="s">
        <v>425</v>
      </c>
      <c r="D135" s="27" t="s">
        <v>157</v>
      </c>
      <c r="E135" s="34" t="s">
        <v>158</v>
      </c>
      <c r="F135" s="56">
        <f>MROUND(IF(TRIM(T135)="ATHE", D135*0.75, IF(TRIM(T135)="Focus Awards", D135*0.6, D135*0.7)) + 1, 10) - 1</f>
        <v>1049</v>
      </c>
      <c r="G135" s="32">
        <f t="shared" si="18"/>
        <v>0.40022870211549455</v>
      </c>
      <c r="H135" s="52">
        <f t="shared" si="19"/>
        <v>0.40022870211549455</v>
      </c>
      <c r="I135" s="27" t="s">
        <v>159</v>
      </c>
      <c r="J135" s="27" t="s">
        <v>160</v>
      </c>
      <c r="K135" s="58">
        <f>MROUND(IF(TRIM(T135)="ATHE", I135*0.75, IF(TRIM(T135)="Focus Awards", I135*0.6, I135*0.7)) + 1, 10) - 1</f>
        <v>1259</v>
      </c>
      <c r="L135" s="61">
        <f t="shared" si="20"/>
        <v>0.40019056693663646</v>
      </c>
      <c r="M135" s="65">
        <f t="shared" si="21"/>
        <v>0.40019056693663646</v>
      </c>
      <c r="N135" s="58">
        <f>ROUND(IF(TRIM(T135)="ATHE", VALUE(SUBSTITUTE(SUBSTITUTE(D135,"£",""),",",""))*0.85, VALUE(SUBSTITUTE(SUBSTITUTE(D135,"£",""),",",""))*0.8), 0)</f>
        <v>1399</v>
      </c>
      <c r="O135" s="65">
        <f t="shared" si="22"/>
        <v>0.20011435105774733</v>
      </c>
      <c r="P135" s="58">
        <f t="shared" si="23"/>
        <v>99</v>
      </c>
      <c r="Q135" s="66">
        <f t="shared" si="24"/>
        <v>145</v>
      </c>
      <c r="R135" s="58">
        <f t="shared" si="25"/>
        <v>140</v>
      </c>
      <c r="S135" s="67">
        <f t="shared" si="26"/>
        <v>9</v>
      </c>
      <c r="T135" s="27" t="s">
        <v>318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 s="6"/>
    </row>
    <row r="136" spans="1:156" s="1" customFormat="1">
      <c r="A136" s="33">
        <v>135</v>
      </c>
      <c r="B136" s="28" t="s">
        <v>426</v>
      </c>
      <c r="C136" s="29" t="s">
        <v>427</v>
      </c>
      <c r="D136" s="27" t="s">
        <v>428</v>
      </c>
      <c r="E136" s="34" t="s">
        <v>429</v>
      </c>
      <c r="F136" s="56">
        <f>MROUND(IF(TRIM(T136)="ATHE", D136*0.75, IF(TRIM(T136)="Focus Awards", D136*0.6, D136*0.7)) + 1, 10) - 1</f>
        <v>859</v>
      </c>
      <c r="G136" s="32">
        <f t="shared" si="18"/>
        <v>0.39888033589923022</v>
      </c>
      <c r="H136" s="52">
        <f t="shared" si="19"/>
        <v>0.39888033589923022</v>
      </c>
      <c r="I136" s="27" t="s">
        <v>430</v>
      </c>
      <c r="J136" s="27" t="s">
        <v>431</v>
      </c>
      <c r="K136" s="58">
        <f>MROUND(IF(TRIM(T136)="ATHE", I136*0.75, IF(TRIM(T136)="Focus Awards", I136*0.6, I136*0.7)) + 1, 10) - 1</f>
        <v>1029</v>
      </c>
      <c r="L136" s="61">
        <f t="shared" si="20"/>
        <v>0.40139616055846428</v>
      </c>
      <c r="M136" s="65">
        <f t="shared" si="21"/>
        <v>0.40139616055846428</v>
      </c>
      <c r="N136" s="58">
        <f>ROUND(IF(TRIM(T136)="ATHE", VALUE(SUBSTITUTE(SUBSTITUTE(D136,"£",""),",",""))*0.85, VALUE(SUBSTITUTE(SUBSTITUTE(D136,"£",""),",",""))*0.8), 0)</f>
        <v>1143</v>
      </c>
      <c r="O136" s="65">
        <f t="shared" si="22"/>
        <v>0.20013995801259621</v>
      </c>
      <c r="P136" s="58">
        <f t="shared" si="23"/>
        <v>99</v>
      </c>
      <c r="Q136" s="66">
        <f t="shared" si="24"/>
        <v>116</v>
      </c>
      <c r="R136" s="58">
        <f t="shared" si="25"/>
        <v>116</v>
      </c>
      <c r="S136" s="67">
        <f t="shared" si="26"/>
        <v>9</v>
      </c>
      <c r="T136" s="27" t="s">
        <v>318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 s="6"/>
    </row>
    <row r="137" spans="1:156" s="1" customFormat="1" ht="29.45">
      <c r="A137" s="27">
        <v>136</v>
      </c>
      <c r="B137" s="28" t="s">
        <v>432</v>
      </c>
      <c r="C137" s="29" t="s">
        <v>433</v>
      </c>
      <c r="D137" s="27" t="s">
        <v>428</v>
      </c>
      <c r="E137" s="34" t="s">
        <v>429</v>
      </c>
      <c r="F137" s="56">
        <f>MROUND(IF(TRIM(T137)="ATHE", D137*0.75, IF(TRIM(T137)="Focus Awards", D137*0.6, D137*0.7)) + 1, 10) - 1</f>
        <v>859</v>
      </c>
      <c r="G137" s="32">
        <f t="shared" si="18"/>
        <v>0.39888033589923022</v>
      </c>
      <c r="H137" s="52">
        <f t="shared" si="19"/>
        <v>0.39888033589923022</v>
      </c>
      <c r="I137" s="27" t="s">
        <v>430</v>
      </c>
      <c r="J137" s="27" t="s">
        <v>431</v>
      </c>
      <c r="K137" s="58">
        <f>MROUND(IF(TRIM(T137)="ATHE", I137*0.75, IF(TRIM(T137)="Focus Awards", I137*0.6, I137*0.7)) + 1, 10) - 1</f>
        <v>1029</v>
      </c>
      <c r="L137" s="61">
        <f t="shared" si="20"/>
        <v>0.40139616055846428</v>
      </c>
      <c r="M137" s="65">
        <f t="shared" si="21"/>
        <v>0.40139616055846428</v>
      </c>
      <c r="N137" s="58">
        <f>ROUND(IF(TRIM(T137)="ATHE", VALUE(SUBSTITUTE(SUBSTITUTE(D137,"£",""),",",""))*0.85, VALUE(SUBSTITUTE(SUBSTITUTE(D137,"£",""),",",""))*0.8), 0)</f>
        <v>1143</v>
      </c>
      <c r="O137" s="65">
        <f t="shared" si="22"/>
        <v>0.20013995801259621</v>
      </c>
      <c r="P137" s="58">
        <f t="shared" si="23"/>
        <v>99</v>
      </c>
      <c r="Q137" s="66">
        <f t="shared" si="24"/>
        <v>116</v>
      </c>
      <c r="R137" s="58">
        <f t="shared" si="25"/>
        <v>116</v>
      </c>
      <c r="S137" s="67">
        <f t="shared" si="26"/>
        <v>9</v>
      </c>
      <c r="T137" s="27" t="s">
        <v>318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 s="6"/>
    </row>
    <row r="138" spans="1:156" s="1" customFormat="1">
      <c r="A138" s="33">
        <v>137</v>
      </c>
      <c r="B138" s="28" t="s">
        <v>434</v>
      </c>
      <c r="C138" s="29" t="s">
        <v>435</v>
      </c>
      <c r="D138" s="27" t="s">
        <v>48</v>
      </c>
      <c r="E138" s="34" t="s">
        <v>42</v>
      </c>
      <c r="F138" s="56">
        <f>MROUND(IF(TRIM(T138)="ATHE", D138*0.75, IF(TRIM(T138)="Focus Awards", D138*0.6, D138*0.7)) + 1, 10) - 1</f>
        <v>299</v>
      </c>
      <c r="G138" s="32">
        <f t="shared" si="18"/>
        <v>0.40080160320641278</v>
      </c>
      <c r="H138" s="52">
        <f t="shared" si="19"/>
        <v>0.40080160320641278</v>
      </c>
      <c r="I138" s="27" t="s">
        <v>50</v>
      </c>
      <c r="J138" s="27" t="s">
        <v>44</v>
      </c>
      <c r="K138" s="58">
        <f>MROUND(IF(TRIM(T138)="ATHE", I138*0.75, IF(TRIM(T138)="Focus Awards", I138*0.6, I138*0.7)) + 1, 10) - 1</f>
        <v>359</v>
      </c>
      <c r="L138" s="61">
        <f t="shared" si="20"/>
        <v>0.40066777963272115</v>
      </c>
      <c r="M138" s="65">
        <f t="shared" si="21"/>
        <v>0.40066777963272115</v>
      </c>
      <c r="N138" s="58">
        <f>ROUND(IF(TRIM(T138)="ATHE", VALUE(SUBSTITUTE(SUBSTITUTE(D138,"£",""),",",""))*0.85, VALUE(SUBSTITUTE(SUBSTITUTE(D138,"£",""),",",""))*0.8), 0)</f>
        <v>399</v>
      </c>
      <c r="O138" s="65">
        <f t="shared" si="22"/>
        <v>0.20040080160320639</v>
      </c>
      <c r="P138" s="58">
        <f t="shared" si="23"/>
        <v>35</v>
      </c>
      <c r="Q138" s="66">
        <f t="shared" si="24"/>
        <v>61</v>
      </c>
      <c r="R138" s="58">
        <f t="shared" si="25"/>
        <v>59</v>
      </c>
      <c r="S138" s="67">
        <f t="shared" si="26"/>
        <v>6</v>
      </c>
      <c r="T138" s="27" t="s">
        <v>318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 s="6"/>
    </row>
    <row r="139" spans="1:156" s="1" customFormat="1" ht="29.45">
      <c r="A139" s="27">
        <v>138</v>
      </c>
      <c r="B139" s="28" t="s">
        <v>436</v>
      </c>
      <c r="C139" s="29" t="s">
        <v>437</v>
      </c>
      <c r="D139" s="27" t="s">
        <v>115</v>
      </c>
      <c r="E139" s="34" t="s">
        <v>116</v>
      </c>
      <c r="F139" s="56">
        <f>MROUND(IF(TRIM(T139)="ATHE", D139*0.75, IF(TRIM(T139)="Focus Awards", D139*0.6, D139*0.7)) + 1, 10) - 1</f>
        <v>1079</v>
      </c>
      <c r="G139" s="32">
        <f t="shared" si="18"/>
        <v>0.4002223457476376</v>
      </c>
      <c r="H139" s="52">
        <f t="shared" si="19"/>
        <v>0.4002223457476376</v>
      </c>
      <c r="I139" s="27" t="s">
        <v>117</v>
      </c>
      <c r="J139" s="27" t="s">
        <v>118</v>
      </c>
      <c r="K139" s="58">
        <f>MROUND(IF(TRIM(T139)="ATHE", I139*0.75, IF(TRIM(T139)="Focus Awards", I139*0.6, I139*0.7)) + 1, 10) - 1</f>
        <v>1299</v>
      </c>
      <c r="L139" s="61">
        <f t="shared" si="20"/>
        <v>0.39833256137100514</v>
      </c>
      <c r="M139" s="65">
        <f t="shared" si="21"/>
        <v>0.39833256137100514</v>
      </c>
      <c r="N139" s="58">
        <f>ROUND(IF(TRIM(T139)="ATHE", VALUE(SUBSTITUTE(SUBSTITUTE(D139,"£",""),",",""))*0.85, VALUE(SUBSTITUTE(SUBSTITUTE(D139,"£",""),",",""))*0.8), 0)</f>
        <v>1439</v>
      </c>
      <c r="O139" s="65">
        <f t="shared" si="22"/>
        <v>0.20011117287381874</v>
      </c>
      <c r="P139" s="58">
        <f t="shared" si="23"/>
        <v>99</v>
      </c>
      <c r="Q139" s="66">
        <f t="shared" si="24"/>
        <v>149</v>
      </c>
      <c r="R139" s="58">
        <f t="shared" si="25"/>
        <v>148</v>
      </c>
      <c r="S139" s="67">
        <f t="shared" si="26"/>
        <v>9</v>
      </c>
      <c r="T139" s="27" t="s">
        <v>318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 s="6"/>
    </row>
    <row r="140" spans="1:156" s="1" customFormat="1" ht="29.45">
      <c r="A140" s="33">
        <v>139</v>
      </c>
      <c r="B140" s="28" t="s">
        <v>438</v>
      </c>
      <c r="C140" s="29" t="s">
        <v>439</v>
      </c>
      <c r="D140" s="27" t="s">
        <v>61</v>
      </c>
      <c r="E140" s="34" t="s">
        <v>62</v>
      </c>
      <c r="F140" s="56">
        <f>MROUND(IF(TRIM(T140)="ATHE", D140*0.75, IF(TRIM(T140)="Focus Awards", D140*0.6, D140*0.7)) + 1, 10) - 1</f>
        <v>949</v>
      </c>
      <c r="G140" s="32">
        <f t="shared" si="18"/>
        <v>0.39898670044331852</v>
      </c>
      <c r="H140" s="52">
        <f t="shared" si="19"/>
        <v>0.39898670044331852</v>
      </c>
      <c r="I140" s="27" t="s">
        <v>63</v>
      </c>
      <c r="J140" s="27" t="s">
        <v>64</v>
      </c>
      <c r="K140" s="58">
        <f>MROUND(IF(TRIM(T140)="ATHE", I140*0.75, IF(TRIM(T140)="Focus Awards", I140*0.6, I140*0.7)) + 1, 10) - 1</f>
        <v>1139</v>
      </c>
      <c r="L140" s="61">
        <f t="shared" si="20"/>
        <v>0.40021063717746186</v>
      </c>
      <c r="M140" s="65">
        <f t="shared" si="21"/>
        <v>0.40021063717746186</v>
      </c>
      <c r="N140" s="58">
        <f>ROUND(IF(TRIM(T140)="ATHE", VALUE(SUBSTITUTE(SUBSTITUTE(D140,"£",""),",",""))*0.85, VALUE(SUBSTITUTE(SUBSTITUTE(D140,"£",""),",",""))*0.8), 0)</f>
        <v>1263</v>
      </c>
      <c r="O140" s="65">
        <f t="shared" si="22"/>
        <v>0.20012666244458521</v>
      </c>
      <c r="P140" s="58">
        <f t="shared" si="23"/>
        <v>99</v>
      </c>
      <c r="Q140" s="66">
        <f t="shared" si="24"/>
        <v>130</v>
      </c>
      <c r="R140" s="58">
        <f t="shared" si="25"/>
        <v>124</v>
      </c>
      <c r="S140" s="67">
        <f t="shared" si="26"/>
        <v>9</v>
      </c>
      <c r="T140" s="27" t="s">
        <v>318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 s="6"/>
    </row>
    <row r="141" spans="1:156" s="1" customFormat="1" ht="29.45">
      <c r="A141" s="27">
        <v>140</v>
      </c>
      <c r="B141" s="28" t="s">
        <v>440</v>
      </c>
      <c r="C141" s="29" t="s">
        <v>441</v>
      </c>
      <c r="D141" s="27" t="s">
        <v>61</v>
      </c>
      <c r="E141" s="34" t="s">
        <v>62</v>
      </c>
      <c r="F141" s="56">
        <f>MROUND(IF(TRIM(T141)="ATHE", D141*0.75, IF(TRIM(T141)="Focus Awards", D141*0.6, D141*0.7)) + 1, 10) - 1</f>
        <v>949</v>
      </c>
      <c r="G141" s="32">
        <f t="shared" si="18"/>
        <v>0.39898670044331852</v>
      </c>
      <c r="H141" s="52">
        <f t="shared" si="19"/>
        <v>0.39898670044331852</v>
      </c>
      <c r="I141" s="27" t="s">
        <v>63</v>
      </c>
      <c r="J141" s="27" t="s">
        <v>64</v>
      </c>
      <c r="K141" s="58">
        <f>MROUND(IF(TRIM(T141)="ATHE", I141*0.75, IF(TRIM(T141)="Focus Awards", I141*0.6, I141*0.7)) + 1, 10) - 1</f>
        <v>1139</v>
      </c>
      <c r="L141" s="61">
        <f t="shared" si="20"/>
        <v>0.40021063717746186</v>
      </c>
      <c r="M141" s="65">
        <f t="shared" si="21"/>
        <v>0.40021063717746186</v>
      </c>
      <c r="N141" s="58">
        <f>ROUND(IF(TRIM(T141)="ATHE", VALUE(SUBSTITUTE(SUBSTITUTE(D141,"£",""),",",""))*0.85, VALUE(SUBSTITUTE(SUBSTITUTE(D141,"£",""),",",""))*0.8), 0)</f>
        <v>1263</v>
      </c>
      <c r="O141" s="65">
        <f t="shared" si="22"/>
        <v>0.20012666244458521</v>
      </c>
      <c r="P141" s="58">
        <f t="shared" si="23"/>
        <v>99</v>
      </c>
      <c r="Q141" s="66">
        <f t="shared" si="24"/>
        <v>130</v>
      </c>
      <c r="R141" s="58">
        <f t="shared" si="25"/>
        <v>124</v>
      </c>
      <c r="S141" s="67">
        <f t="shared" si="26"/>
        <v>9</v>
      </c>
      <c r="T141" s="27" t="s">
        <v>318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 s="6"/>
    </row>
    <row r="142" spans="1:156" s="1" customFormat="1">
      <c r="A142" s="33">
        <v>141</v>
      </c>
      <c r="B142" s="28" t="s">
        <v>442</v>
      </c>
      <c r="C142" s="29" t="s">
        <v>443</v>
      </c>
      <c r="D142" s="27" t="s">
        <v>79</v>
      </c>
      <c r="E142" s="34" t="s">
        <v>80</v>
      </c>
      <c r="F142" s="56">
        <f>MROUND(IF(TRIM(T142)="ATHE", D142*0.75, IF(TRIM(T142)="Focus Awards", D142*0.6, D142*0.7)) + 1, 10) - 1</f>
        <v>929</v>
      </c>
      <c r="G142" s="32">
        <f t="shared" si="18"/>
        <v>0.40025823111684955</v>
      </c>
      <c r="H142" s="52">
        <f t="shared" si="19"/>
        <v>0.40025823111684955</v>
      </c>
      <c r="I142" s="27" t="s">
        <v>81</v>
      </c>
      <c r="J142" s="27" t="s">
        <v>82</v>
      </c>
      <c r="K142" s="58">
        <f>MROUND(IF(TRIM(T142)="ATHE", I142*0.75, IF(TRIM(T142)="Focus Awards", I142*0.6, I142*0.7)) + 1, 10) - 1</f>
        <v>1119</v>
      </c>
      <c r="L142" s="61">
        <f t="shared" si="20"/>
        <v>0.39806347498655192</v>
      </c>
      <c r="M142" s="65">
        <f t="shared" si="21"/>
        <v>0.39806347498655192</v>
      </c>
      <c r="N142" s="58">
        <f>ROUND(IF(TRIM(T142)="ATHE", VALUE(SUBSTITUTE(SUBSTITUTE(D142,"£",""),",",""))*0.85, VALUE(SUBSTITUTE(SUBSTITUTE(D142,"£",""),",",""))*0.8), 0)</f>
        <v>1239</v>
      </c>
      <c r="O142" s="65">
        <f t="shared" si="22"/>
        <v>0.20012911555842483</v>
      </c>
      <c r="P142" s="58">
        <f t="shared" si="23"/>
        <v>99</v>
      </c>
      <c r="Q142" s="66">
        <f t="shared" si="24"/>
        <v>127</v>
      </c>
      <c r="R142" s="58">
        <f t="shared" si="25"/>
        <v>124</v>
      </c>
      <c r="S142" s="67">
        <f t="shared" si="26"/>
        <v>9</v>
      </c>
      <c r="T142" s="27" t="s">
        <v>318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 s="6"/>
    </row>
    <row r="143" spans="1:156" s="1" customFormat="1">
      <c r="A143" s="27">
        <v>142</v>
      </c>
      <c r="B143" s="28" t="s">
        <v>444</v>
      </c>
      <c r="C143" s="29" t="s">
        <v>445</v>
      </c>
      <c r="D143" s="27" t="s">
        <v>99</v>
      </c>
      <c r="E143" s="34" t="s">
        <v>100</v>
      </c>
      <c r="F143" s="56">
        <f>MROUND(IF(TRIM(T143)="ATHE", D143*0.75, IF(TRIM(T143)="Focus Awards", D143*0.6, D143*0.7)) + 1, 10) - 1</f>
        <v>959</v>
      </c>
      <c r="G143" s="32">
        <f t="shared" si="18"/>
        <v>0.40025015634771732</v>
      </c>
      <c r="H143" s="52">
        <f t="shared" si="19"/>
        <v>0.40025015634771732</v>
      </c>
      <c r="I143" s="27" t="s">
        <v>101</v>
      </c>
      <c r="J143" s="27" t="s">
        <v>102</v>
      </c>
      <c r="K143" s="58">
        <f>MROUND(IF(TRIM(T143)="ATHE", I143*0.75, IF(TRIM(T143)="Focus Awards", I143*0.6, I143*0.7)) + 1, 10) - 1</f>
        <v>1149</v>
      </c>
      <c r="L143" s="61">
        <f t="shared" si="20"/>
        <v>0.40125065138092753</v>
      </c>
      <c r="M143" s="65">
        <f t="shared" si="21"/>
        <v>0.40125065138092753</v>
      </c>
      <c r="N143" s="58">
        <f>ROUND(IF(TRIM(T143)="ATHE", VALUE(SUBSTITUTE(SUBSTITUTE(D143,"£",""),",",""))*0.85, VALUE(SUBSTITUTE(SUBSTITUTE(D143,"£",""),",",""))*0.8), 0)</f>
        <v>1279</v>
      </c>
      <c r="O143" s="65">
        <f t="shared" si="22"/>
        <v>0.20012507817385872</v>
      </c>
      <c r="P143" s="58">
        <f t="shared" si="23"/>
        <v>99</v>
      </c>
      <c r="Q143" s="66">
        <f t="shared" si="24"/>
        <v>132</v>
      </c>
      <c r="R143" s="58">
        <f t="shared" si="25"/>
        <v>124</v>
      </c>
      <c r="S143" s="67">
        <f t="shared" si="26"/>
        <v>9</v>
      </c>
      <c r="T143" s="27" t="s">
        <v>318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 s="6"/>
    </row>
    <row r="144" spans="1:156" s="1" customFormat="1" ht="29.45">
      <c r="A144" s="36">
        <v>154</v>
      </c>
      <c r="B144" s="37" t="s">
        <v>446</v>
      </c>
      <c r="C144" s="38" t="s">
        <v>447</v>
      </c>
      <c r="D144" s="39" t="s">
        <v>48</v>
      </c>
      <c r="E144" s="40" t="s">
        <v>42</v>
      </c>
      <c r="F144" s="56">
        <f>MROUND(IF(TRIM(T144)="ATHE", D144*0.75, IF(TRIM(T144)="Focus Awards", D144*0.6, D144*0.7)) + 1, 10) - 1</f>
        <v>349</v>
      </c>
      <c r="G144" s="41">
        <f t="shared" si="18"/>
        <v>0.40080160320641278</v>
      </c>
      <c r="H144" s="53">
        <f t="shared" si="19"/>
        <v>0.30060120240480959</v>
      </c>
      <c r="I144" s="39" t="s">
        <v>50</v>
      </c>
      <c r="J144" s="39" t="s">
        <v>44</v>
      </c>
      <c r="K144" s="58">
        <f>MROUND(IF(TRIM(T144)="ATHE", I144*0.75, IF(TRIM(T144)="Focus Awards", I144*0.6, I144*0.7)) + 1, 10) - 1</f>
        <v>419</v>
      </c>
      <c r="L144" s="61">
        <f t="shared" si="20"/>
        <v>0.40066777963272115</v>
      </c>
      <c r="M144" s="65">
        <f t="shared" si="21"/>
        <v>0.30050083472454092</v>
      </c>
      <c r="N144" s="58">
        <f>ROUND(IF(TRIM(T144)="ATHE", VALUE(SUBSTITUTE(SUBSTITUTE(D144,"£",""),",",""))*0.85, VALUE(SUBSTITUTE(SUBSTITUTE(D144,"£",""),",",""))*0.8), 0)</f>
        <v>399</v>
      </c>
      <c r="O144" s="65">
        <f t="shared" si="22"/>
        <v>0.20040080160320639</v>
      </c>
      <c r="P144" s="58">
        <f t="shared" si="23"/>
        <v>35</v>
      </c>
      <c r="Q144" s="66">
        <f t="shared" si="24"/>
        <v>61</v>
      </c>
      <c r="R144" s="58">
        <f t="shared" si="25"/>
        <v>59</v>
      </c>
      <c r="S144" s="67">
        <f t="shared" si="26"/>
        <v>6</v>
      </c>
      <c r="T144" s="36" t="s">
        <v>448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 s="6"/>
    </row>
    <row r="145" spans="1:156" s="1" customFormat="1" ht="29.45">
      <c r="A145" s="42">
        <v>155</v>
      </c>
      <c r="B145" s="37" t="s">
        <v>449</v>
      </c>
      <c r="C145" s="38" t="s">
        <v>450</v>
      </c>
      <c r="D145" s="39" t="s">
        <v>48</v>
      </c>
      <c r="E145" s="40" t="s">
        <v>42</v>
      </c>
      <c r="F145" s="56">
        <f>MROUND(IF(TRIM(T145)="ATHE", D145*0.75, IF(TRIM(T145)="Focus Awards", D145*0.6, D145*0.7)) + 1, 10) - 1</f>
        <v>349</v>
      </c>
      <c r="G145" s="41">
        <f t="shared" si="18"/>
        <v>0.40080160320641278</v>
      </c>
      <c r="H145" s="53">
        <f t="shared" si="19"/>
        <v>0.30060120240480959</v>
      </c>
      <c r="I145" s="39" t="s">
        <v>50</v>
      </c>
      <c r="J145" s="39" t="s">
        <v>44</v>
      </c>
      <c r="K145" s="58">
        <f>MROUND(IF(TRIM(T145)="ATHE", I145*0.75, IF(TRIM(T145)="Focus Awards", I145*0.6, I145*0.7)) + 1, 10) - 1</f>
        <v>419</v>
      </c>
      <c r="L145" s="61">
        <f t="shared" si="20"/>
        <v>0.40066777963272115</v>
      </c>
      <c r="M145" s="65">
        <f t="shared" si="21"/>
        <v>0.30050083472454092</v>
      </c>
      <c r="N145" s="58">
        <f>ROUND(IF(TRIM(T145)="ATHE", VALUE(SUBSTITUTE(SUBSTITUTE(D145,"£",""),",",""))*0.85, VALUE(SUBSTITUTE(SUBSTITUTE(D145,"£",""),",",""))*0.8), 0)</f>
        <v>399</v>
      </c>
      <c r="O145" s="65">
        <f t="shared" si="22"/>
        <v>0.20040080160320639</v>
      </c>
      <c r="P145" s="58">
        <f t="shared" si="23"/>
        <v>35</v>
      </c>
      <c r="Q145" s="66">
        <f t="shared" si="24"/>
        <v>61</v>
      </c>
      <c r="R145" s="58">
        <f t="shared" si="25"/>
        <v>59</v>
      </c>
      <c r="S145" s="67">
        <f t="shared" si="26"/>
        <v>6</v>
      </c>
      <c r="T145" s="36" t="s">
        <v>448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 s="6"/>
    </row>
    <row r="146" spans="1:156" s="1" customFormat="1">
      <c r="A146" s="36">
        <v>156</v>
      </c>
      <c r="B146" s="37" t="s">
        <v>451</v>
      </c>
      <c r="C146" s="38" t="s">
        <v>452</v>
      </c>
      <c r="D146" s="39" t="s">
        <v>271</v>
      </c>
      <c r="E146" s="40" t="s">
        <v>453</v>
      </c>
      <c r="F146" s="56">
        <f>MROUND(IF(TRIM(T146)="ATHE", D146*0.75, IF(TRIM(T146)="Focus Awards", D146*0.6, D146*0.7)) + 1, 10) - 1</f>
        <v>389</v>
      </c>
      <c r="G146" s="41">
        <f t="shared" si="18"/>
        <v>0.40072859744990896</v>
      </c>
      <c r="H146" s="53">
        <f t="shared" si="19"/>
        <v>0.29143897996357016</v>
      </c>
      <c r="I146" s="39" t="s">
        <v>261</v>
      </c>
      <c r="J146" s="39" t="s">
        <v>265</v>
      </c>
      <c r="K146" s="58">
        <f>MROUND(IF(TRIM(T146)="ATHE", I146*0.75, IF(TRIM(T146)="Focus Awards", I146*0.6, I146*0.7)) + 1, 10) - 1</f>
        <v>459</v>
      </c>
      <c r="L146" s="61">
        <f t="shared" si="20"/>
        <v>0.3945371775417299</v>
      </c>
      <c r="M146" s="65">
        <f t="shared" si="21"/>
        <v>0.30349013657056145</v>
      </c>
      <c r="N146" s="58">
        <f>ROUND(IF(TRIM(T146)="ATHE", VALUE(SUBSTITUTE(SUBSTITUTE(D146,"£",""),",",""))*0.85, VALUE(SUBSTITUTE(SUBSTITUTE(D146,"£",""),",",""))*0.8), 0)</f>
        <v>439</v>
      </c>
      <c r="O146" s="65">
        <f t="shared" si="22"/>
        <v>0.20036429872495443</v>
      </c>
      <c r="P146" s="58">
        <f t="shared" si="23"/>
        <v>35</v>
      </c>
      <c r="Q146" s="66">
        <f t="shared" si="24"/>
        <v>68</v>
      </c>
      <c r="R146" s="58">
        <f t="shared" si="25"/>
        <v>64</v>
      </c>
      <c r="S146" s="67">
        <f t="shared" si="26"/>
        <v>6</v>
      </c>
      <c r="T146" s="36" t="s">
        <v>448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 s="6"/>
    </row>
    <row r="147" spans="1:156" s="1" customFormat="1" ht="29.45">
      <c r="A147" s="42">
        <v>157</v>
      </c>
      <c r="B147" s="37" t="s">
        <v>454</v>
      </c>
      <c r="C147" s="38" t="s">
        <v>455</v>
      </c>
      <c r="D147" s="36" t="s">
        <v>90</v>
      </c>
      <c r="E147" s="43" t="s">
        <v>346</v>
      </c>
      <c r="F147" s="56">
        <f>MROUND(IF(TRIM(T147)="ATHE", D147*0.75, IF(TRIM(T147)="Focus Awards", D147*0.6, D147*0.7)) + 1, 10) - 1</f>
        <v>689</v>
      </c>
      <c r="G147" s="41">
        <f t="shared" si="18"/>
        <v>0.40444893832153694</v>
      </c>
      <c r="H147" s="53">
        <f t="shared" si="19"/>
        <v>0.30333670374115262</v>
      </c>
      <c r="I147" s="36" t="s">
        <v>92</v>
      </c>
      <c r="J147" s="36" t="s">
        <v>348</v>
      </c>
      <c r="K147" s="58">
        <f>MROUND(IF(TRIM(T147)="ATHE", I147*0.75, IF(TRIM(T147)="Focus Awards", I147*0.6, I147*0.7)) + 1, 10) - 1</f>
        <v>829</v>
      </c>
      <c r="L147" s="61">
        <f t="shared" si="20"/>
        <v>0.40370058873002523</v>
      </c>
      <c r="M147" s="65">
        <f t="shared" si="21"/>
        <v>0.3027754415475189</v>
      </c>
      <c r="N147" s="58">
        <f>ROUND(IF(TRIM(T147)="ATHE", VALUE(SUBSTITUTE(SUBSTITUTE(D147,"£",""),",",""))*0.85, VALUE(SUBSTITUTE(SUBSTITUTE(D147,"£",""),",",""))*0.8), 0)</f>
        <v>791</v>
      </c>
      <c r="O147" s="65">
        <f t="shared" si="22"/>
        <v>0.20020222446916081</v>
      </c>
      <c r="P147" s="58">
        <f t="shared" si="23"/>
        <v>99</v>
      </c>
      <c r="Q147" s="66">
        <f t="shared" si="24"/>
        <v>77</v>
      </c>
      <c r="R147" s="58">
        <f t="shared" si="25"/>
        <v>76</v>
      </c>
      <c r="S147" s="67">
        <f t="shared" si="26"/>
        <v>9</v>
      </c>
      <c r="T147" s="36" t="s">
        <v>456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 s="6"/>
    </row>
    <row r="148" spans="1:156" s="1" customFormat="1" ht="29.45">
      <c r="A148" s="36">
        <v>158</v>
      </c>
      <c r="B148" s="37" t="s">
        <v>457</v>
      </c>
      <c r="C148" s="38" t="s">
        <v>458</v>
      </c>
      <c r="D148" s="36" t="s">
        <v>89</v>
      </c>
      <c r="E148" s="43" t="s">
        <v>90</v>
      </c>
      <c r="F148" s="56">
        <f>MROUND(IF(TRIM(T148)="ATHE", D148*0.75, IF(TRIM(T148)="Focus Awards", D148*0.6, D148*0.7)) + 1, 10) - 1</f>
        <v>1159</v>
      </c>
      <c r="G148" s="41">
        <f t="shared" si="18"/>
        <v>0.40024257125530627</v>
      </c>
      <c r="H148" s="53">
        <f t="shared" si="19"/>
        <v>0.29714978775015166</v>
      </c>
      <c r="I148" s="36" t="s">
        <v>91</v>
      </c>
      <c r="J148" s="36" t="s">
        <v>92</v>
      </c>
      <c r="K148" s="58">
        <f>MROUND(IF(TRIM(T148)="ATHE", I148*0.75, IF(TRIM(T148)="Focus Awards", I148*0.6, I148*0.7)) + 1, 10) - 1</f>
        <v>1389</v>
      </c>
      <c r="L148" s="61">
        <f t="shared" si="20"/>
        <v>0.39919151086407278</v>
      </c>
      <c r="M148" s="65">
        <f t="shared" si="21"/>
        <v>0.29813036887316824</v>
      </c>
      <c r="N148" s="58">
        <f>ROUND(IF(TRIM(T148)="ATHE", VALUE(SUBSTITUTE(SUBSTITUTE(D148,"£",""),",",""))*0.85, VALUE(SUBSTITUTE(SUBSTITUTE(D148,"£",""),",",""))*0.8), 0)</f>
        <v>1319</v>
      </c>
      <c r="O148" s="65">
        <f t="shared" si="22"/>
        <v>0.20012128562765308</v>
      </c>
      <c r="P148" s="58">
        <f t="shared" si="23"/>
        <v>99</v>
      </c>
      <c r="Q148" s="66">
        <f t="shared" si="24"/>
        <v>136</v>
      </c>
      <c r="R148" s="58">
        <f t="shared" si="25"/>
        <v>132</v>
      </c>
      <c r="S148" s="67">
        <f t="shared" si="26"/>
        <v>9</v>
      </c>
      <c r="T148" s="36" t="s">
        <v>456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 s="6"/>
    </row>
    <row r="149" spans="1:156" s="1" customFormat="1">
      <c r="A149" s="42">
        <v>159</v>
      </c>
      <c r="B149" s="37" t="s">
        <v>459</v>
      </c>
      <c r="C149" s="38" t="s">
        <v>460</v>
      </c>
      <c r="D149" s="39" t="s">
        <v>48</v>
      </c>
      <c r="E149" s="40" t="s">
        <v>42</v>
      </c>
      <c r="F149" s="56">
        <f>MROUND(IF(TRIM(T149)="ATHE", D149*0.75, IF(TRIM(T149)="Focus Awards", D149*0.6, D149*0.7)) + 1, 10) - 1</f>
        <v>349</v>
      </c>
      <c r="G149" s="41">
        <f t="shared" si="18"/>
        <v>0.40080160320641278</v>
      </c>
      <c r="H149" s="53">
        <f t="shared" si="19"/>
        <v>0.30060120240480959</v>
      </c>
      <c r="I149" s="39" t="s">
        <v>50</v>
      </c>
      <c r="J149" s="39" t="s">
        <v>44</v>
      </c>
      <c r="K149" s="58">
        <f>MROUND(IF(TRIM(T149)="ATHE", I149*0.75, IF(TRIM(T149)="Focus Awards", I149*0.6, I149*0.7)) + 1, 10) - 1</f>
        <v>419</v>
      </c>
      <c r="L149" s="61">
        <f t="shared" si="20"/>
        <v>0.40066777963272115</v>
      </c>
      <c r="M149" s="65">
        <f t="shared" si="21"/>
        <v>0.30050083472454092</v>
      </c>
      <c r="N149" s="58">
        <f>ROUND(IF(TRIM(T149)="ATHE", VALUE(SUBSTITUTE(SUBSTITUTE(D149,"£",""),",",""))*0.85, VALUE(SUBSTITUTE(SUBSTITUTE(D149,"£",""),",",""))*0.8), 0)</f>
        <v>399</v>
      </c>
      <c r="O149" s="65">
        <f t="shared" si="22"/>
        <v>0.20040080160320639</v>
      </c>
      <c r="P149" s="58">
        <f t="shared" si="23"/>
        <v>35</v>
      </c>
      <c r="Q149" s="66">
        <f t="shared" si="24"/>
        <v>61</v>
      </c>
      <c r="R149" s="58">
        <f t="shared" si="25"/>
        <v>59</v>
      </c>
      <c r="S149" s="67">
        <f t="shared" si="26"/>
        <v>6</v>
      </c>
      <c r="T149" s="36" t="s">
        <v>461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 s="6"/>
    </row>
    <row r="150" spans="1:156" s="1" customFormat="1" ht="29.45">
      <c r="A150" s="36">
        <v>160</v>
      </c>
      <c r="B150" s="37" t="s">
        <v>462</v>
      </c>
      <c r="C150" s="38" t="s">
        <v>463</v>
      </c>
      <c r="D150" s="39" t="s">
        <v>464</v>
      </c>
      <c r="E150" s="40" t="s">
        <v>76</v>
      </c>
      <c r="F150" s="56">
        <f>MROUND(IF(TRIM(T150)="ATHE", D150*0.75, IF(TRIM(T150)="Focus Awards", D150*0.6, D150*0.7)) + 1, 10) - 1</f>
        <v>809</v>
      </c>
      <c r="G150" s="41">
        <f t="shared" si="18"/>
        <v>0.28472821397756687</v>
      </c>
      <c r="H150" s="53">
        <f t="shared" si="19"/>
        <v>0.30198446937014667</v>
      </c>
      <c r="I150" s="39" t="s">
        <v>205</v>
      </c>
      <c r="J150" s="39" t="s">
        <v>172</v>
      </c>
      <c r="K150" s="58">
        <f>MROUND(IF(TRIM(T150)="ATHE", I150*0.75, IF(TRIM(T150)="Focus Awards", I150*0.6, I150*0.7)) + 1, 10) - 1</f>
        <v>969</v>
      </c>
      <c r="L150" s="61">
        <f t="shared" si="20"/>
        <v>0.28077753779697623</v>
      </c>
      <c r="M150" s="65">
        <f t="shared" si="21"/>
        <v>0.30237580993520519</v>
      </c>
      <c r="N150" s="58">
        <f>ROUND(IF(TRIM(T150)="ATHE", VALUE(SUBSTITUTE(SUBSTITUTE(D150,"£",""),",",""))*0.85, VALUE(SUBSTITUTE(SUBSTITUTE(D150,"£",""),",",""))*0.8), 0)</f>
        <v>927</v>
      </c>
      <c r="O150" s="65">
        <f t="shared" si="22"/>
        <v>0.20017256255392579</v>
      </c>
      <c r="P150" s="58">
        <f t="shared" si="23"/>
        <v>99</v>
      </c>
      <c r="Q150" s="66">
        <f t="shared" si="24"/>
        <v>92</v>
      </c>
      <c r="R150" s="58">
        <f t="shared" si="25"/>
        <v>92</v>
      </c>
      <c r="S150" s="67">
        <f t="shared" si="26"/>
        <v>9</v>
      </c>
      <c r="T150" s="36" t="s">
        <v>461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 s="6"/>
    </row>
    <row r="151" spans="1:156" s="1" customFormat="1">
      <c r="A151" s="42">
        <v>161</v>
      </c>
      <c r="B151" s="37" t="s">
        <v>465</v>
      </c>
      <c r="C151" s="38" t="s">
        <v>466</v>
      </c>
      <c r="D151" s="39" t="s">
        <v>467</v>
      </c>
      <c r="E151" s="40" t="s">
        <v>48</v>
      </c>
      <c r="F151" s="56">
        <f>MROUND(IF(TRIM(T151)="ATHE", D151*0.75, IF(TRIM(T151)="Focus Awards", D151*0.6, D151*0.7)) + 1, 10) - 1</f>
        <v>589</v>
      </c>
      <c r="G151" s="41">
        <f t="shared" si="18"/>
        <v>0.40524433849821218</v>
      </c>
      <c r="H151" s="53">
        <f t="shared" si="19"/>
        <v>0.29797377830750893</v>
      </c>
      <c r="I151" s="39" t="s">
        <v>468</v>
      </c>
      <c r="J151" s="39" t="s">
        <v>469</v>
      </c>
      <c r="K151" s="58">
        <f>MROUND(IF(TRIM(T151)="ATHE", I151*0.75, IF(TRIM(T151)="Focus Awards", I151*0.6, I151*0.7)) + 1, 10) - 1</f>
        <v>709</v>
      </c>
      <c r="L151" s="61">
        <f t="shared" si="20"/>
        <v>0.39643211100099107</v>
      </c>
      <c r="M151" s="65">
        <f t="shared" si="21"/>
        <v>0.29732408325074333</v>
      </c>
      <c r="N151" s="58">
        <f>ROUND(IF(TRIM(T151)="ATHE", VALUE(SUBSTITUTE(SUBSTITUTE(D151,"£",""),",",""))*0.85, VALUE(SUBSTITUTE(SUBSTITUTE(D151,"£",""),",",""))*0.8), 0)</f>
        <v>671</v>
      </c>
      <c r="O151" s="65">
        <f t="shared" si="22"/>
        <v>0.20023837902264596</v>
      </c>
      <c r="P151" s="58">
        <f t="shared" si="23"/>
        <v>99</v>
      </c>
      <c r="Q151" s="66">
        <f t="shared" si="24"/>
        <v>64</v>
      </c>
      <c r="R151" s="58">
        <f t="shared" si="25"/>
        <v>60</v>
      </c>
      <c r="S151" s="67">
        <f t="shared" si="26"/>
        <v>9</v>
      </c>
      <c r="T151" s="36" t="s">
        <v>461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 s="6"/>
    </row>
    <row r="152" spans="1:156" s="1" customFormat="1" ht="29.45">
      <c r="A152" s="36">
        <v>162</v>
      </c>
      <c r="B152" s="37" t="s">
        <v>470</v>
      </c>
      <c r="C152" s="38" t="s">
        <v>471</v>
      </c>
      <c r="D152" s="39" t="s">
        <v>315</v>
      </c>
      <c r="E152" s="40" t="s">
        <v>472</v>
      </c>
      <c r="F152" s="56">
        <f>MROUND(IF(TRIM(T152)="ATHE", D152*0.75, IF(TRIM(T152)="Focus Awards", D152*0.6, D152*0.7)) + 1, 10) - 1</f>
        <v>249</v>
      </c>
      <c r="G152" s="41">
        <f t="shared" si="18"/>
        <v>0.3724928366762178</v>
      </c>
      <c r="H152" s="53">
        <f t="shared" si="19"/>
        <v>0.28653295128939826</v>
      </c>
      <c r="I152" s="39" t="s">
        <v>317</v>
      </c>
      <c r="J152" s="39" t="s">
        <v>332</v>
      </c>
      <c r="K152" s="58">
        <f>MROUND(IF(TRIM(T152)="ATHE", I152*0.75, IF(TRIM(T152)="Focus Awards", I152*0.6, I152*0.7)) + 1, 10) - 1</f>
        <v>289</v>
      </c>
      <c r="L152" s="61">
        <f t="shared" si="20"/>
        <v>0.40572792362768495</v>
      </c>
      <c r="M152" s="65">
        <f t="shared" si="21"/>
        <v>0.31026252983293556</v>
      </c>
      <c r="N152" s="58">
        <f>ROUND(IF(TRIM(T152)="ATHE", VALUE(SUBSTITUTE(SUBSTITUTE(D152,"£",""),",",""))*0.85, VALUE(SUBSTITUTE(SUBSTITUTE(D152,"£",""),",",""))*0.8), 0)</f>
        <v>279</v>
      </c>
      <c r="O152" s="65">
        <f t="shared" si="22"/>
        <v>0.20057306590257884</v>
      </c>
      <c r="P152" s="58">
        <f t="shared" si="23"/>
        <v>35</v>
      </c>
      <c r="Q152" s="66">
        <f t="shared" si="24"/>
        <v>41</v>
      </c>
      <c r="R152" s="58">
        <f t="shared" si="25"/>
        <v>39</v>
      </c>
      <c r="S152" s="67">
        <f t="shared" si="26"/>
        <v>6</v>
      </c>
      <c r="T152" s="36" t="s">
        <v>461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 s="6"/>
    </row>
    <row r="153" spans="1:156" s="1" customFormat="1" ht="29.45">
      <c r="A153" s="42">
        <v>163</v>
      </c>
      <c r="B153" s="37" t="s">
        <v>473</v>
      </c>
      <c r="C153" s="38" t="s">
        <v>474</v>
      </c>
      <c r="D153" s="39" t="s">
        <v>315</v>
      </c>
      <c r="E153" s="40" t="s">
        <v>472</v>
      </c>
      <c r="F153" s="56">
        <f>MROUND(IF(TRIM(T153)="ATHE", D153*0.75, IF(TRIM(T153)="Focus Awards", D153*0.6, D153*0.7)) + 1, 10) - 1</f>
        <v>249</v>
      </c>
      <c r="G153" s="41">
        <f t="shared" si="18"/>
        <v>0.3724928366762178</v>
      </c>
      <c r="H153" s="53">
        <f t="shared" si="19"/>
        <v>0.28653295128939826</v>
      </c>
      <c r="I153" s="39" t="s">
        <v>317</v>
      </c>
      <c r="J153" s="39" t="s">
        <v>332</v>
      </c>
      <c r="K153" s="58">
        <f>MROUND(IF(TRIM(T153)="ATHE", I153*0.75, IF(TRIM(T153)="Focus Awards", I153*0.6, I153*0.7)) + 1, 10) - 1</f>
        <v>289</v>
      </c>
      <c r="L153" s="61">
        <f t="shared" si="20"/>
        <v>0.40572792362768495</v>
      </c>
      <c r="M153" s="65">
        <f t="shared" si="21"/>
        <v>0.31026252983293556</v>
      </c>
      <c r="N153" s="58">
        <f>ROUND(IF(TRIM(T153)="ATHE", VALUE(SUBSTITUTE(SUBSTITUTE(D153,"£",""),",",""))*0.85, VALUE(SUBSTITUTE(SUBSTITUTE(D153,"£",""),",",""))*0.8), 0)</f>
        <v>279</v>
      </c>
      <c r="O153" s="65">
        <f t="shared" si="22"/>
        <v>0.20057306590257884</v>
      </c>
      <c r="P153" s="58">
        <f t="shared" si="23"/>
        <v>35</v>
      </c>
      <c r="Q153" s="66">
        <f t="shared" si="24"/>
        <v>41</v>
      </c>
      <c r="R153" s="58">
        <f t="shared" si="25"/>
        <v>39</v>
      </c>
      <c r="S153" s="67">
        <f t="shared" si="26"/>
        <v>6</v>
      </c>
      <c r="T153" s="36" t="s">
        <v>461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 s="6"/>
    </row>
    <row r="154" spans="1:156" s="1" customFormat="1">
      <c r="A154" s="36">
        <v>164</v>
      </c>
      <c r="B154" s="37" t="s">
        <v>475</v>
      </c>
      <c r="C154" s="38" t="s">
        <v>476</v>
      </c>
      <c r="D154" s="39" t="s">
        <v>315</v>
      </c>
      <c r="E154" s="40" t="s">
        <v>472</v>
      </c>
      <c r="F154" s="56">
        <f>MROUND(IF(TRIM(T154)="ATHE", D154*0.75, IF(TRIM(T154)="Focus Awards", D154*0.6, D154*0.7)) + 1, 10) - 1</f>
        <v>249</v>
      </c>
      <c r="G154" s="41">
        <f t="shared" si="18"/>
        <v>0.3724928366762178</v>
      </c>
      <c r="H154" s="53">
        <f t="shared" si="19"/>
        <v>0.28653295128939826</v>
      </c>
      <c r="I154" s="39" t="s">
        <v>317</v>
      </c>
      <c r="J154" s="39" t="s">
        <v>332</v>
      </c>
      <c r="K154" s="58">
        <f>MROUND(IF(TRIM(T154)="ATHE", I154*0.75, IF(TRIM(T154)="Focus Awards", I154*0.6, I154*0.7)) + 1, 10) - 1</f>
        <v>289</v>
      </c>
      <c r="L154" s="61">
        <f t="shared" si="20"/>
        <v>0.40572792362768495</v>
      </c>
      <c r="M154" s="65">
        <f t="shared" si="21"/>
        <v>0.31026252983293556</v>
      </c>
      <c r="N154" s="58">
        <f>ROUND(IF(TRIM(T154)="ATHE", VALUE(SUBSTITUTE(SUBSTITUTE(D154,"£",""),",",""))*0.85, VALUE(SUBSTITUTE(SUBSTITUTE(D154,"£",""),",",""))*0.8), 0)</f>
        <v>279</v>
      </c>
      <c r="O154" s="65">
        <f t="shared" si="22"/>
        <v>0.20057306590257884</v>
      </c>
      <c r="P154" s="58">
        <f t="shared" si="23"/>
        <v>35</v>
      </c>
      <c r="Q154" s="66">
        <f t="shared" si="24"/>
        <v>41</v>
      </c>
      <c r="R154" s="58">
        <f t="shared" si="25"/>
        <v>39</v>
      </c>
      <c r="S154" s="67">
        <f t="shared" si="26"/>
        <v>6</v>
      </c>
      <c r="T154" s="36" t="s">
        <v>461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 s="6"/>
    </row>
    <row r="155" spans="1:156" s="1" customFormat="1" ht="29.45">
      <c r="A155" s="42">
        <v>165</v>
      </c>
      <c r="B155" s="37" t="s">
        <v>477</v>
      </c>
      <c r="C155" s="38" t="s">
        <v>478</v>
      </c>
      <c r="D155" s="39" t="s">
        <v>315</v>
      </c>
      <c r="E155" s="40" t="s">
        <v>472</v>
      </c>
      <c r="F155" s="56">
        <f>MROUND(IF(TRIM(T155)="ATHE", D155*0.75, IF(TRIM(T155)="Focus Awards", D155*0.6, D155*0.7)) + 1, 10) - 1</f>
        <v>249</v>
      </c>
      <c r="G155" s="41">
        <f t="shared" si="18"/>
        <v>0.3724928366762178</v>
      </c>
      <c r="H155" s="53">
        <f t="shared" si="19"/>
        <v>0.28653295128939826</v>
      </c>
      <c r="I155" s="39" t="s">
        <v>317</v>
      </c>
      <c r="J155" s="39" t="s">
        <v>332</v>
      </c>
      <c r="K155" s="58">
        <f>MROUND(IF(TRIM(T155)="ATHE", I155*0.75, IF(TRIM(T155)="Focus Awards", I155*0.6, I155*0.7)) + 1, 10) - 1</f>
        <v>289</v>
      </c>
      <c r="L155" s="61">
        <f t="shared" si="20"/>
        <v>0.40572792362768495</v>
      </c>
      <c r="M155" s="65">
        <f t="shared" si="21"/>
        <v>0.31026252983293556</v>
      </c>
      <c r="N155" s="58">
        <f>ROUND(IF(TRIM(T155)="ATHE", VALUE(SUBSTITUTE(SUBSTITUTE(D155,"£",""),",",""))*0.85, VALUE(SUBSTITUTE(SUBSTITUTE(D155,"£",""),",",""))*0.8), 0)</f>
        <v>279</v>
      </c>
      <c r="O155" s="65">
        <f t="shared" si="22"/>
        <v>0.20057306590257884</v>
      </c>
      <c r="P155" s="58">
        <f t="shared" si="23"/>
        <v>35</v>
      </c>
      <c r="Q155" s="66">
        <f t="shared" si="24"/>
        <v>41</v>
      </c>
      <c r="R155" s="58">
        <f t="shared" si="25"/>
        <v>39</v>
      </c>
      <c r="S155" s="67">
        <f t="shared" si="26"/>
        <v>6</v>
      </c>
      <c r="T155" s="36" t="s">
        <v>461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 s="6"/>
    </row>
    <row r="156" spans="1:156" s="1" customFormat="1">
      <c r="A156" s="36">
        <v>166</v>
      </c>
      <c r="B156" s="37" t="s">
        <v>479</v>
      </c>
      <c r="C156" s="38" t="s">
        <v>480</v>
      </c>
      <c r="D156" s="39" t="s">
        <v>339</v>
      </c>
      <c r="E156" s="40" t="s">
        <v>321</v>
      </c>
      <c r="F156" s="56">
        <f>MROUND(IF(TRIM(T156)="ATHE", D156*0.75, IF(TRIM(T156)="Focus Awards", D156*0.6, D156*0.7)) + 1, 10) - 1</f>
        <v>269</v>
      </c>
      <c r="G156" s="41">
        <f t="shared" si="18"/>
        <v>0.36939313984168864</v>
      </c>
      <c r="H156" s="53">
        <f t="shared" si="19"/>
        <v>0.29023746701846964</v>
      </c>
      <c r="I156" s="39" t="s">
        <v>269</v>
      </c>
      <c r="J156" s="39" t="s">
        <v>481</v>
      </c>
      <c r="K156" s="58">
        <f>MROUND(IF(TRIM(T156)="ATHE", I156*0.75, IF(TRIM(T156)="Focus Awards", I156*0.6, I156*0.7)) + 1, 10) - 1</f>
        <v>319</v>
      </c>
      <c r="L156" s="61">
        <f t="shared" si="20"/>
        <v>0.39215686274509809</v>
      </c>
      <c r="M156" s="65">
        <f t="shared" si="21"/>
        <v>0.30501089324618735</v>
      </c>
      <c r="N156" s="58">
        <f>ROUND(IF(TRIM(T156)="ATHE", VALUE(SUBSTITUTE(SUBSTITUTE(D156,"£",""),",",""))*0.85, VALUE(SUBSTITUTE(SUBSTITUTE(D156,"£",""),",",""))*0.8), 0)</f>
        <v>303</v>
      </c>
      <c r="O156" s="65">
        <f t="shared" si="22"/>
        <v>0.20052770448548818</v>
      </c>
      <c r="P156" s="58">
        <f t="shared" si="23"/>
        <v>35</v>
      </c>
      <c r="Q156" s="66">
        <f t="shared" si="24"/>
        <v>45</v>
      </c>
      <c r="R156" s="58">
        <f t="shared" si="25"/>
        <v>43</v>
      </c>
      <c r="S156" s="67">
        <f t="shared" si="26"/>
        <v>6</v>
      </c>
      <c r="T156" s="36" t="s">
        <v>461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 s="6"/>
    </row>
    <row r="157" spans="1:156" s="1" customFormat="1" ht="29.45">
      <c r="A157" s="42">
        <v>167</v>
      </c>
      <c r="B157" s="37" t="s">
        <v>482</v>
      </c>
      <c r="C157" s="38" t="s">
        <v>483</v>
      </c>
      <c r="D157" s="39" t="s">
        <v>339</v>
      </c>
      <c r="E157" s="40" t="s">
        <v>321</v>
      </c>
      <c r="F157" s="56">
        <f>MROUND(IF(TRIM(T157)="ATHE", D157*0.75, IF(TRIM(T157)="Focus Awards", D157*0.6, D157*0.7)) + 1, 10) - 1</f>
        <v>269</v>
      </c>
      <c r="G157" s="41">
        <f t="shared" si="18"/>
        <v>0.36939313984168864</v>
      </c>
      <c r="H157" s="53">
        <f t="shared" si="19"/>
        <v>0.29023746701846964</v>
      </c>
      <c r="I157" s="39" t="s">
        <v>269</v>
      </c>
      <c r="J157" s="39" t="s">
        <v>481</v>
      </c>
      <c r="K157" s="58">
        <f>MROUND(IF(TRIM(T157)="ATHE", I157*0.75, IF(TRIM(T157)="Focus Awards", I157*0.6, I157*0.7)) + 1, 10) - 1</f>
        <v>319</v>
      </c>
      <c r="L157" s="61">
        <f t="shared" si="20"/>
        <v>0.39215686274509809</v>
      </c>
      <c r="M157" s="65">
        <f t="shared" si="21"/>
        <v>0.30501089324618735</v>
      </c>
      <c r="N157" s="58">
        <f>ROUND(IF(TRIM(T157)="ATHE", VALUE(SUBSTITUTE(SUBSTITUTE(D157,"£",""),",",""))*0.85, VALUE(SUBSTITUTE(SUBSTITUTE(D157,"£",""),",",""))*0.8), 0)</f>
        <v>303</v>
      </c>
      <c r="O157" s="65">
        <f t="shared" si="22"/>
        <v>0.20052770448548818</v>
      </c>
      <c r="P157" s="58">
        <f t="shared" si="23"/>
        <v>35</v>
      </c>
      <c r="Q157" s="66">
        <f t="shared" si="24"/>
        <v>45</v>
      </c>
      <c r="R157" s="58">
        <f t="shared" si="25"/>
        <v>43</v>
      </c>
      <c r="S157" s="67">
        <f t="shared" si="26"/>
        <v>6</v>
      </c>
      <c r="T157" s="36" t="s">
        <v>461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 s="6"/>
    </row>
    <row r="158" spans="1:156" s="1" customFormat="1" ht="29.45">
      <c r="A158" s="36">
        <v>168</v>
      </c>
      <c r="B158" s="37" t="s">
        <v>484</v>
      </c>
      <c r="C158" s="38" t="s">
        <v>485</v>
      </c>
      <c r="D158" s="39" t="s">
        <v>339</v>
      </c>
      <c r="E158" s="40" t="s">
        <v>321</v>
      </c>
      <c r="F158" s="56">
        <f>MROUND(IF(TRIM(T158)="ATHE", D158*0.75, IF(TRIM(T158)="Focus Awards", D158*0.6, D158*0.7)) + 1, 10) - 1</f>
        <v>269</v>
      </c>
      <c r="G158" s="41">
        <f t="shared" si="18"/>
        <v>0.36939313984168864</v>
      </c>
      <c r="H158" s="53">
        <f t="shared" si="19"/>
        <v>0.29023746701846964</v>
      </c>
      <c r="I158" s="39" t="s">
        <v>269</v>
      </c>
      <c r="J158" s="39" t="s">
        <v>481</v>
      </c>
      <c r="K158" s="58">
        <f>MROUND(IF(TRIM(T158)="ATHE", I158*0.75, IF(TRIM(T158)="Focus Awards", I158*0.6, I158*0.7)) + 1, 10) - 1</f>
        <v>319</v>
      </c>
      <c r="L158" s="61">
        <f t="shared" si="20"/>
        <v>0.39215686274509809</v>
      </c>
      <c r="M158" s="65">
        <f t="shared" si="21"/>
        <v>0.30501089324618735</v>
      </c>
      <c r="N158" s="58">
        <f>ROUND(IF(TRIM(T158)="ATHE", VALUE(SUBSTITUTE(SUBSTITUTE(D158,"£",""),",",""))*0.85, VALUE(SUBSTITUTE(SUBSTITUTE(D158,"£",""),",",""))*0.8), 0)</f>
        <v>303</v>
      </c>
      <c r="O158" s="65">
        <f t="shared" si="22"/>
        <v>0.20052770448548818</v>
      </c>
      <c r="P158" s="58">
        <f t="shared" si="23"/>
        <v>35</v>
      </c>
      <c r="Q158" s="66">
        <f t="shared" si="24"/>
        <v>45</v>
      </c>
      <c r="R158" s="58">
        <f t="shared" si="25"/>
        <v>43</v>
      </c>
      <c r="S158" s="67">
        <f t="shared" si="26"/>
        <v>6</v>
      </c>
      <c r="T158" s="36" t="s">
        <v>461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 s="6"/>
    </row>
    <row r="159" spans="1:156" s="1" customFormat="1" ht="29.45">
      <c r="A159" s="42">
        <v>169</v>
      </c>
      <c r="B159" s="37" t="s">
        <v>486</v>
      </c>
      <c r="C159" s="38" t="s">
        <v>487</v>
      </c>
      <c r="D159" s="39" t="s">
        <v>339</v>
      </c>
      <c r="E159" s="40" t="s">
        <v>321</v>
      </c>
      <c r="F159" s="56">
        <f>MROUND(IF(TRIM(T159)="ATHE", D159*0.75, IF(TRIM(T159)="Focus Awards", D159*0.6, D159*0.7)) + 1, 10) - 1</f>
        <v>269</v>
      </c>
      <c r="G159" s="41">
        <f t="shared" si="18"/>
        <v>0.36939313984168864</v>
      </c>
      <c r="H159" s="53">
        <f t="shared" si="19"/>
        <v>0.29023746701846964</v>
      </c>
      <c r="I159" s="39" t="s">
        <v>269</v>
      </c>
      <c r="J159" s="39" t="s">
        <v>323</v>
      </c>
      <c r="K159" s="58">
        <f>MROUND(IF(TRIM(T159)="ATHE", I159*0.75, IF(TRIM(T159)="Focus Awards", I159*0.6, I159*0.7)) + 1, 10) - 1</f>
        <v>319</v>
      </c>
      <c r="L159" s="61">
        <f t="shared" si="20"/>
        <v>0.37037037037037035</v>
      </c>
      <c r="M159" s="65">
        <f t="shared" si="21"/>
        <v>0.30501089324618735</v>
      </c>
      <c r="N159" s="58">
        <f>ROUND(IF(TRIM(T159)="ATHE", VALUE(SUBSTITUTE(SUBSTITUTE(D159,"£",""),",",""))*0.85, VALUE(SUBSTITUTE(SUBSTITUTE(D159,"£",""),",",""))*0.8), 0)</f>
        <v>303</v>
      </c>
      <c r="O159" s="65">
        <f t="shared" si="22"/>
        <v>0.20052770448548818</v>
      </c>
      <c r="P159" s="58">
        <f t="shared" si="23"/>
        <v>35</v>
      </c>
      <c r="Q159" s="66">
        <f t="shared" si="24"/>
        <v>45</v>
      </c>
      <c r="R159" s="58">
        <f t="shared" si="25"/>
        <v>43</v>
      </c>
      <c r="S159" s="67">
        <f t="shared" si="26"/>
        <v>6</v>
      </c>
      <c r="T159" s="36" t="s">
        <v>461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 s="6"/>
    </row>
    <row r="160" spans="1:156" s="1" customFormat="1" ht="29.45">
      <c r="A160" s="36">
        <v>170</v>
      </c>
      <c r="B160" s="37" t="s">
        <v>488</v>
      </c>
      <c r="C160" s="38" t="s">
        <v>489</v>
      </c>
      <c r="D160" s="39" t="s">
        <v>339</v>
      </c>
      <c r="E160" s="40" t="s">
        <v>321</v>
      </c>
      <c r="F160" s="56">
        <f>MROUND(IF(TRIM(T160)="ATHE", D160*0.75, IF(TRIM(T160)="Focus Awards", D160*0.6, D160*0.7)) + 1, 10) - 1</f>
        <v>269</v>
      </c>
      <c r="G160" s="41">
        <f t="shared" si="18"/>
        <v>0.36939313984168864</v>
      </c>
      <c r="H160" s="53">
        <f t="shared" si="19"/>
        <v>0.29023746701846964</v>
      </c>
      <c r="I160" s="39" t="s">
        <v>269</v>
      </c>
      <c r="J160" s="39" t="s">
        <v>481</v>
      </c>
      <c r="K160" s="58">
        <f>MROUND(IF(TRIM(T160)="ATHE", I160*0.75, IF(TRIM(T160)="Focus Awards", I160*0.6, I160*0.7)) + 1, 10) - 1</f>
        <v>319</v>
      </c>
      <c r="L160" s="61">
        <f t="shared" si="20"/>
        <v>0.39215686274509809</v>
      </c>
      <c r="M160" s="65">
        <f t="shared" si="21"/>
        <v>0.30501089324618735</v>
      </c>
      <c r="N160" s="58">
        <f>ROUND(IF(TRIM(T160)="ATHE", VALUE(SUBSTITUTE(SUBSTITUTE(D160,"£",""),",",""))*0.85, VALUE(SUBSTITUTE(SUBSTITUTE(D160,"£",""),",",""))*0.8), 0)</f>
        <v>303</v>
      </c>
      <c r="O160" s="65">
        <f t="shared" si="22"/>
        <v>0.20052770448548818</v>
      </c>
      <c r="P160" s="58">
        <f t="shared" si="23"/>
        <v>35</v>
      </c>
      <c r="Q160" s="66">
        <f t="shared" si="24"/>
        <v>45</v>
      </c>
      <c r="R160" s="58">
        <f t="shared" si="25"/>
        <v>43</v>
      </c>
      <c r="S160" s="67">
        <f t="shared" si="26"/>
        <v>6</v>
      </c>
      <c r="T160" s="36" t="s">
        <v>461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 s="6"/>
    </row>
    <row r="161" spans="1:156" s="1" customFormat="1" ht="29.45">
      <c r="A161" s="42">
        <v>171</v>
      </c>
      <c r="B161" s="37" t="s">
        <v>490</v>
      </c>
      <c r="C161" s="38" t="s">
        <v>491</v>
      </c>
      <c r="D161" s="39" t="s">
        <v>339</v>
      </c>
      <c r="E161" s="40" t="s">
        <v>321</v>
      </c>
      <c r="F161" s="56">
        <f>MROUND(IF(TRIM(T161)="ATHE", D161*0.75, IF(TRIM(T161)="Focus Awards", D161*0.6, D161*0.7)) + 1, 10) - 1</f>
        <v>269</v>
      </c>
      <c r="G161" s="41">
        <f t="shared" si="18"/>
        <v>0.36939313984168864</v>
      </c>
      <c r="H161" s="53">
        <f t="shared" si="19"/>
        <v>0.29023746701846964</v>
      </c>
      <c r="I161" s="39" t="s">
        <v>269</v>
      </c>
      <c r="J161" s="39" t="s">
        <v>481</v>
      </c>
      <c r="K161" s="58">
        <f>MROUND(IF(TRIM(T161)="ATHE", I161*0.75, IF(TRIM(T161)="Focus Awards", I161*0.6, I161*0.7)) + 1, 10) - 1</f>
        <v>319</v>
      </c>
      <c r="L161" s="61">
        <f t="shared" si="20"/>
        <v>0.39215686274509809</v>
      </c>
      <c r="M161" s="65">
        <f t="shared" si="21"/>
        <v>0.30501089324618735</v>
      </c>
      <c r="N161" s="58">
        <f>ROUND(IF(TRIM(T161)="ATHE", VALUE(SUBSTITUTE(SUBSTITUTE(D161,"£",""),",",""))*0.85, VALUE(SUBSTITUTE(SUBSTITUTE(D161,"£",""),",",""))*0.8), 0)</f>
        <v>303</v>
      </c>
      <c r="O161" s="65">
        <f t="shared" si="22"/>
        <v>0.20052770448548818</v>
      </c>
      <c r="P161" s="58">
        <f t="shared" si="23"/>
        <v>35</v>
      </c>
      <c r="Q161" s="66">
        <f t="shared" si="24"/>
        <v>45</v>
      </c>
      <c r="R161" s="58">
        <f t="shared" si="25"/>
        <v>43</v>
      </c>
      <c r="S161" s="67">
        <f t="shared" si="26"/>
        <v>6</v>
      </c>
      <c r="T161" s="36" t="s">
        <v>461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 s="6"/>
    </row>
    <row r="162" spans="1:156" s="1" customFormat="1" ht="29.45">
      <c r="A162" s="36">
        <v>172</v>
      </c>
      <c r="B162" s="37" t="s">
        <v>492</v>
      </c>
      <c r="C162" s="38" t="s">
        <v>493</v>
      </c>
      <c r="D162" s="39" t="s">
        <v>339</v>
      </c>
      <c r="E162" s="40" t="s">
        <v>321</v>
      </c>
      <c r="F162" s="56">
        <f>MROUND(IF(TRIM(T162)="ATHE", D162*0.75, IF(TRIM(T162)="Focus Awards", D162*0.6, D162*0.7)) + 1, 10) - 1</f>
        <v>269</v>
      </c>
      <c r="G162" s="41">
        <f t="shared" si="18"/>
        <v>0.36939313984168864</v>
      </c>
      <c r="H162" s="53">
        <f t="shared" si="19"/>
        <v>0.29023746701846964</v>
      </c>
      <c r="I162" s="39" t="s">
        <v>269</v>
      </c>
      <c r="J162" s="39" t="s">
        <v>481</v>
      </c>
      <c r="K162" s="58">
        <f>MROUND(IF(TRIM(T162)="ATHE", I162*0.75, IF(TRIM(T162)="Focus Awards", I162*0.6, I162*0.7)) + 1, 10) - 1</f>
        <v>319</v>
      </c>
      <c r="L162" s="61">
        <f t="shared" si="20"/>
        <v>0.39215686274509809</v>
      </c>
      <c r="M162" s="65">
        <f t="shared" si="21"/>
        <v>0.30501089324618735</v>
      </c>
      <c r="N162" s="58">
        <f>ROUND(IF(TRIM(T162)="ATHE", VALUE(SUBSTITUTE(SUBSTITUTE(D162,"£",""),",",""))*0.85, VALUE(SUBSTITUTE(SUBSTITUTE(D162,"£",""),",",""))*0.8), 0)</f>
        <v>303</v>
      </c>
      <c r="O162" s="65">
        <f t="shared" si="22"/>
        <v>0.20052770448548818</v>
      </c>
      <c r="P162" s="58">
        <f t="shared" si="23"/>
        <v>35</v>
      </c>
      <c r="Q162" s="66">
        <f t="shared" si="24"/>
        <v>45</v>
      </c>
      <c r="R162" s="58">
        <f t="shared" si="25"/>
        <v>43</v>
      </c>
      <c r="S162" s="67">
        <f t="shared" si="26"/>
        <v>6</v>
      </c>
      <c r="T162" s="36" t="s">
        <v>461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 s="6"/>
    </row>
    <row r="163" spans="1:156" s="1" customFormat="1" ht="29.45">
      <c r="A163" s="42">
        <v>173</v>
      </c>
      <c r="B163" s="37" t="s">
        <v>494</v>
      </c>
      <c r="C163" s="38" t="s">
        <v>495</v>
      </c>
      <c r="D163" s="39" t="s">
        <v>271</v>
      </c>
      <c r="E163" s="40" t="s">
        <v>453</v>
      </c>
      <c r="F163" s="56">
        <f>MROUND(IF(TRIM(T163)="ATHE", D163*0.75, IF(TRIM(T163)="Focus Awards", D163*0.6, D163*0.7)) + 1, 10) - 1</f>
        <v>389</v>
      </c>
      <c r="G163" s="41">
        <f t="shared" si="18"/>
        <v>0.40072859744990896</v>
      </c>
      <c r="H163" s="53">
        <f t="shared" si="19"/>
        <v>0.29143897996357016</v>
      </c>
      <c r="I163" s="39" t="s">
        <v>261</v>
      </c>
      <c r="J163" s="39" t="s">
        <v>265</v>
      </c>
      <c r="K163" s="58">
        <f>MROUND(IF(TRIM(T163)="ATHE", I163*0.75, IF(TRIM(T163)="Focus Awards", I163*0.6, I163*0.7)) + 1, 10) - 1</f>
        <v>459</v>
      </c>
      <c r="L163" s="61">
        <f t="shared" si="20"/>
        <v>0.3945371775417299</v>
      </c>
      <c r="M163" s="65">
        <f t="shared" si="21"/>
        <v>0.30349013657056145</v>
      </c>
      <c r="N163" s="58">
        <f>ROUND(IF(TRIM(T163)="ATHE", VALUE(SUBSTITUTE(SUBSTITUTE(D163,"£",""),",",""))*0.85, VALUE(SUBSTITUTE(SUBSTITUTE(D163,"£",""),",",""))*0.8), 0)</f>
        <v>439</v>
      </c>
      <c r="O163" s="65">
        <f t="shared" si="22"/>
        <v>0.20036429872495443</v>
      </c>
      <c r="P163" s="58">
        <f t="shared" si="23"/>
        <v>35</v>
      </c>
      <c r="Q163" s="66">
        <f t="shared" si="24"/>
        <v>68</v>
      </c>
      <c r="R163" s="58">
        <f t="shared" si="25"/>
        <v>64</v>
      </c>
      <c r="S163" s="67">
        <f t="shared" si="26"/>
        <v>6</v>
      </c>
      <c r="T163" s="36" t="s">
        <v>461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 s="6"/>
    </row>
    <row r="164" spans="1:156" s="1" customFormat="1" ht="29.45">
      <c r="A164" s="36">
        <v>174</v>
      </c>
      <c r="B164" s="37" t="s">
        <v>496</v>
      </c>
      <c r="C164" s="38" t="s">
        <v>497</v>
      </c>
      <c r="D164" s="39" t="s">
        <v>405</v>
      </c>
      <c r="E164" s="40" t="s">
        <v>498</v>
      </c>
      <c r="F164" s="56">
        <f>MROUND(IF(TRIM(T164)="ATHE", D164*0.75, IF(TRIM(T164)="Focus Awards", D164*0.6, D164*0.7)) + 1, 10) - 1</f>
        <v>299</v>
      </c>
      <c r="G164" s="41">
        <f t="shared" si="18"/>
        <v>0.39627039627039629</v>
      </c>
      <c r="H164" s="53">
        <f t="shared" si="19"/>
        <v>0.30303030303030298</v>
      </c>
      <c r="I164" s="39" t="s">
        <v>499</v>
      </c>
      <c r="J164" s="39" t="s">
        <v>500</v>
      </c>
      <c r="K164" s="58">
        <f>MROUND(IF(TRIM(T164)="ATHE", I164*0.75, IF(TRIM(T164)="Focus Awards", I164*0.6, I164*0.7)) + 1, 10) - 1</f>
        <v>359</v>
      </c>
      <c r="L164" s="61">
        <f t="shared" si="20"/>
        <v>0.40462427745664742</v>
      </c>
      <c r="M164" s="65">
        <f t="shared" si="21"/>
        <v>0.30828516377649329</v>
      </c>
      <c r="N164" s="58">
        <f>ROUND(IF(TRIM(T164)="ATHE", VALUE(SUBSTITUTE(SUBSTITUTE(D164,"£",""),",",""))*0.85, VALUE(SUBSTITUTE(SUBSTITUTE(D164,"£",""),",",""))*0.8), 0)</f>
        <v>343</v>
      </c>
      <c r="O164" s="65">
        <f t="shared" si="22"/>
        <v>0.20046620046620045</v>
      </c>
      <c r="P164" s="58">
        <f t="shared" si="23"/>
        <v>35</v>
      </c>
      <c r="Q164" s="66">
        <f t="shared" si="24"/>
        <v>52</v>
      </c>
      <c r="R164" s="58">
        <f t="shared" si="25"/>
        <v>48</v>
      </c>
      <c r="S164" s="67">
        <f t="shared" si="26"/>
        <v>6</v>
      </c>
      <c r="T164" s="36" t="s">
        <v>461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 s="6"/>
    </row>
    <row r="165" spans="1:156" s="4" customFormat="1" ht="29.45">
      <c r="A165" s="42">
        <v>175</v>
      </c>
      <c r="B165" s="37" t="s">
        <v>501</v>
      </c>
      <c r="C165" s="38" t="s">
        <v>502</v>
      </c>
      <c r="D165" s="39" t="s">
        <v>339</v>
      </c>
      <c r="E165" s="40" t="s">
        <v>321</v>
      </c>
      <c r="F165" s="56">
        <f>MROUND(IF(TRIM(T165)="ATHE", D165*0.75, IF(TRIM(T165)="Focus Awards", D165*0.6, D165*0.7)) + 1, 10) - 1</f>
        <v>269</v>
      </c>
      <c r="G165" s="41">
        <f t="shared" si="18"/>
        <v>0.36939313984168864</v>
      </c>
      <c r="H165" s="53">
        <f t="shared" si="19"/>
        <v>0.29023746701846964</v>
      </c>
      <c r="I165" s="39" t="s">
        <v>269</v>
      </c>
      <c r="J165" s="39" t="s">
        <v>481</v>
      </c>
      <c r="K165" s="58">
        <f>MROUND(IF(TRIM(T165)="ATHE", I165*0.75, IF(TRIM(T165)="Focus Awards", I165*0.6, I165*0.7)) + 1, 10) - 1</f>
        <v>319</v>
      </c>
      <c r="L165" s="61">
        <f t="shared" si="20"/>
        <v>0.39215686274509809</v>
      </c>
      <c r="M165" s="65">
        <f t="shared" si="21"/>
        <v>0.30501089324618735</v>
      </c>
      <c r="N165" s="58">
        <f>ROUND(IF(TRIM(T165)="ATHE", VALUE(SUBSTITUTE(SUBSTITUTE(D165,"£",""),",",""))*0.85, VALUE(SUBSTITUTE(SUBSTITUTE(D165,"£",""),",",""))*0.8), 0)</f>
        <v>303</v>
      </c>
      <c r="O165" s="65">
        <f t="shared" si="22"/>
        <v>0.20052770448548818</v>
      </c>
      <c r="P165" s="58">
        <f t="shared" si="23"/>
        <v>35</v>
      </c>
      <c r="Q165" s="66">
        <f t="shared" si="24"/>
        <v>45</v>
      </c>
      <c r="R165" s="58">
        <f t="shared" si="25"/>
        <v>43</v>
      </c>
      <c r="S165" s="67">
        <f t="shared" si="26"/>
        <v>6</v>
      </c>
      <c r="T165" s="36" t="s">
        <v>461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 s="8"/>
    </row>
    <row r="166" spans="1:156" s="1" customFormat="1" ht="29.45">
      <c r="A166" s="36">
        <v>176</v>
      </c>
      <c r="B166" s="37" t="s">
        <v>503</v>
      </c>
      <c r="C166" s="38" t="s">
        <v>504</v>
      </c>
      <c r="D166" s="39" t="s">
        <v>339</v>
      </c>
      <c r="E166" s="40" t="s">
        <v>321</v>
      </c>
      <c r="F166" s="56">
        <f>MROUND(IF(TRIM(T166)="ATHE", D166*0.75, IF(TRIM(T166)="Focus Awards", D166*0.6, D166*0.7)) + 1, 10) - 1</f>
        <v>269</v>
      </c>
      <c r="G166" s="41">
        <f t="shared" si="18"/>
        <v>0.36939313984168864</v>
      </c>
      <c r="H166" s="53">
        <f t="shared" si="19"/>
        <v>0.29023746701846964</v>
      </c>
      <c r="I166" s="39" t="s">
        <v>269</v>
      </c>
      <c r="J166" s="39" t="s">
        <v>481</v>
      </c>
      <c r="K166" s="58">
        <f>MROUND(IF(TRIM(T166)="ATHE", I166*0.75, IF(TRIM(T166)="Focus Awards", I166*0.6, I166*0.7)) + 1, 10) - 1</f>
        <v>319</v>
      </c>
      <c r="L166" s="61">
        <f t="shared" si="20"/>
        <v>0.39215686274509809</v>
      </c>
      <c r="M166" s="65">
        <f t="shared" si="21"/>
        <v>0.30501089324618735</v>
      </c>
      <c r="N166" s="58">
        <f>ROUND(IF(TRIM(T166)="ATHE", VALUE(SUBSTITUTE(SUBSTITUTE(D166,"£",""),",",""))*0.85, VALUE(SUBSTITUTE(SUBSTITUTE(D166,"£",""),",",""))*0.8), 0)</f>
        <v>303</v>
      </c>
      <c r="O166" s="65">
        <f t="shared" si="22"/>
        <v>0.20052770448548818</v>
      </c>
      <c r="P166" s="58">
        <f t="shared" si="23"/>
        <v>35</v>
      </c>
      <c r="Q166" s="66">
        <f t="shared" si="24"/>
        <v>45</v>
      </c>
      <c r="R166" s="58">
        <f t="shared" si="25"/>
        <v>43</v>
      </c>
      <c r="S166" s="67">
        <f t="shared" si="26"/>
        <v>6</v>
      </c>
      <c r="T166" s="36" t="s">
        <v>461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 s="6"/>
    </row>
    <row r="167" spans="1:156" s="1" customFormat="1" ht="29.45">
      <c r="A167" s="42">
        <v>177</v>
      </c>
      <c r="B167" s="37" t="s">
        <v>505</v>
      </c>
      <c r="C167" s="38" t="s">
        <v>506</v>
      </c>
      <c r="D167" s="39" t="s">
        <v>339</v>
      </c>
      <c r="E167" s="40" t="s">
        <v>321</v>
      </c>
      <c r="F167" s="56">
        <f>MROUND(IF(TRIM(T167)="ATHE", D167*0.75, IF(TRIM(T167)="Focus Awards", D167*0.6, D167*0.7)) + 1, 10) - 1</f>
        <v>269</v>
      </c>
      <c r="G167" s="41">
        <f t="shared" si="18"/>
        <v>0.36939313984168864</v>
      </c>
      <c r="H167" s="53">
        <f t="shared" si="19"/>
        <v>0.29023746701846964</v>
      </c>
      <c r="I167" s="39" t="s">
        <v>269</v>
      </c>
      <c r="J167" s="39" t="s">
        <v>481</v>
      </c>
      <c r="K167" s="58">
        <f>MROUND(IF(TRIM(T167)="ATHE", I167*0.75, IF(TRIM(T167)="Focus Awards", I167*0.6, I167*0.7)) + 1, 10) - 1</f>
        <v>319</v>
      </c>
      <c r="L167" s="61">
        <f t="shared" si="20"/>
        <v>0.39215686274509809</v>
      </c>
      <c r="M167" s="65">
        <f t="shared" si="21"/>
        <v>0.30501089324618735</v>
      </c>
      <c r="N167" s="58">
        <f>ROUND(IF(TRIM(T167)="ATHE", VALUE(SUBSTITUTE(SUBSTITUTE(D167,"£",""),",",""))*0.85, VALUE(SUBSTITUTE(SUBSTITUTE(D167,"£",""),",",""))*0.8), 0)</f>
        <v>303</v>
      </c>
      <c r="O167" s="65">
        <f t="shared" si="22"/>
        <v>0.20052770448548818</v>
      </c>
      <c r="P167" s="58">
        <f t="shared" si="23"/>
        <v>35</v>
      </c>
      <c r="Q167" s="66">
        <f t="shared" si="24"/>
        <v>45</v>
      </c>
      <c r="R167" s="58">
        <f t="shared" si="25"/>
        <v>43</v>
      </c>
      <c r="S167" s="67">
        <f t="shared" si="26"/>
        <v>6</v>
      </c>
      <c r="T167" s="36" t="s">
        <v>461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 s="6"/>
    </row>
    <row r="168" spans="1:156" s="1" customFormat="1" ht="29.45">
      <c r="A168" s="36">
        <v>178</v>
      </c>
      <c r="B168" s="37" t="s">
        <v>507</v>
      </c>
      <c r="C168" s="38" t="s">
        <v>508</v>
      </c>
      <c r="D168" s="39" t="s">
        <v>339</v>
      </c>
      <c r="E168" s="40" t="s">
        <v>321</v>
      </c>
      <c r="F168" s="56">
        <f>MROUND(IF(TRIM(T168)="ATHE", D168*0.75, IF(TRIM(T168)="Focus Awards", D168*0.6, D168*0.7)) + 1, 10) - 1</f>
        <v>269</v>
      </c>
      <c r="G168" s="41">
        <f t="shared" si="18"/>
        <v>0.36939313984168864</v>
      </c>
      <c r="H168" s="53">
        <f t="shared" si="19"/>
        <v>0.29023746701846964</v>
      </c>
      <c r="I168" s="39" t="s">
        <v>269</v>
      </c>
      <c r="J168" s="39" t="s">
        <v>481</v>
      </c>
      <c r="K168" s="58">
        <f>MROUND(IF(TRIM(T168)="ATHE", I168*0.75, IF(TRIM(T168)="Focus Awards", I168*0.6, I168*0.7)) + 1, 10) - 1</f>
        <v>319</v>
      </c>
      <c r="L168" s="61">
        <f t="shared" si="20"/>
        <v>0.39215686274509809</v>
      </c>
      <c r="M168" s="65">
        <f t="shared" si="21"/>
        <v>0.30501089324618735</v>
      </c>
      <c r="N168" s="58">
        <f>ROUND(IF(TRIM(T168)="ATHE", VALUE(SUBSTITUTE(SUBSTITUTE(D168,"£",""),",",""))*0.85, VALUE(SUBSTITUTE(SUBSTITUTE(D168,"£",""),",",""))*0.8), 0)</f>
        <v>303</v>
      </c>
      <c r="O168" s="65">
        <f t="shared" si="22"/>
        <v>0.20052770448548818</v>
      </c>
      <c r="P168" s="58">
        <f t="shared" si="23"/>
        <v>35</v>
      </c>
      <c r="Q168" s="66">
        <f t="shared" si="24"/>
        <v>45</v>
      </c>
      <c r="R168" s="58">
        <f t="shared" si="25"/>
        <v>43</v>
      </c>
      <c r="S168" s="67">
        <f t="shared" si="26"/>
        <v>6</v>
      </c>
      <c r="T168" s="36" t="s">
        <v>461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 s="6"/>
    </row>
    <row r="169" spans="1:156" s="1" customFormat="1" ht="29.45">
      <c r="A169" s="42">
        <v>179</v>
      </c>
      <c r="B169" s="37" t="s">
        <v>509</v>
      </c>
      <c r="C169" s="38" t="s">
        <v>510</v>
      </c>
      <c r="D169" s="36" t="s">
        <v>405</v>
      </c>
      <c r="E169" s="43" t="s">
        <v>498</v>
      </c>
      <c r="F169" s="56">
        <f>MROUND(IF(TRIM(T169)="ATHE", D169*0.75, IF(TRIM(T169)="Focus Awards", D169*0.6, D169*0.7)) + 1, 10) - 1</f>
        <v>299</v>
      </c>
      <c r="G169" s="41">
        <f t="shared" si="18"/>
        <v>0.39627039627039629</v>
      </c>
      <c r="H169" s="53">
        <f t="shared" si="19"/>
        <v>0.30303030303030298</v>
      </c>
      <c r="I169" s="36" t="s">
        <v>499</v>
      </c>
      <c r="J169" s="36" t="s">
        <v>500</v>
      </c>
      <c r="K169" s="58">
        <f>MROUND(IF(TRIM(T169)="ATHE", I169*0.75, IF(TRIM(T169)="Focus Awards", I169*0.6, I169*0.7)) + 1, 10) - 1</f>
        <v>359</v>
      </c>
      <c r="L169" s="61">
        <f t="shared" si="20"/>
        <v>0.40462427745664742</v>
      </c>
      <c r="M169" s="65">
        <f t="shared" si="21"/>
        <v>0.30828516377649329</v>
      </c>
      <c r="N169" s="58">
        <f>ROUND(IF(TRIM(T169)="ATHE", VALUE(SUBSTITUTE(SUBSTITUTE(D169,"£",""),",",""))*0.85, VALUE(SUBSTITUTE(SUBSTITUTE(D169,"£",""),",",""))*0.8), 0)</f>
        <v>343</v>
      </c>
      <c r="O169" s="65">
        <f t="shared" si="22"/>
        <v>0.20046620046620045</v>
      </c>
      <c r="P169" s="58">
        <f t="shared" si="23"/>
        <v>35</v>
      </c>
      <c r="Q169" s="66">
        <f t="shared" si="24"/>
        <v>52</v>
      </c>
      <c r="R169" s="58">
        <f t="shared" si="25"/>
        <v>48</v>
      </c>
      <c r="S169" s="67">
        <f t="shared" si="26"/>
        <v>6</v>
      </c>
      <c r="T169" s="36" t="s">
        <v>461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 s="6"/>
    </row>
    <row r="170" spans="1:156" s="1" customFormat="1" ht="29.45">
      <c r="A170" s="36">
        <v>180</v>
      </c>
      <c r="B170" s="37" t="s">
        <v>511</v>
      </c>
      <c r="C170" s="38" t="s">
        <v>512</v>
      </c>
      <c r="D170" s="36" t="s">
        <v>405</v>
      </c>
      <c r="E170" s="43" t="s">
        <v>498</v>
      </c>
      <c r="F170" s="56">
        <f>MROUND(IF(TRIM(T170)="ATHE", D170*0.75, IF(TRIM(T170)="Focus Awards", D170*0.6, D170*0.7)) + 1, 10) - 1</f>
        <v>299</v>
      </c>
      <c r="G170" s="41">
        <f t="shared" si="18"/>
        <v>0.39627039627039629</v>
      </c>
      <c r="H170" s="53">
        <f t="shared" si="19"/>
        <v>0.30303030303030298</v>
      </c>
      <c r="I170" s="36" t="s">
        <v>499</v>
      </c>
      <c r="J170" s="36" t="s">
        <v>500</v>
      </c>
      <c r="K170" s="58">
        <f>MROUND(IF(TRIM(T170)="ATHE", I170*0.75, IF(TRIM(T170)="Focus Awards", I170*0.6, I170*0.7)) + 1, 10) - 1</f>
        <v>359</v>
      </c>
      <c r="L170" s="61">
        <f t="shared" si="20"/>
        <v>0.40462427745664742</v>
      </c>
      <c r="M170" s="65">
        <f t="shared" si="21"/>
        <v>0.30828516377649329</v>
      </c>
      <c r="N170" s="58">
        <f>ROUND(IF(TRIM(T170)="ATHE", VALUE(SUBSTITUTE(SUBSTITUTE(D170,"£",""),",",""))*0.85, VALUE(SUBSTITUTE(SUBSTITUTE(D170,"£",""),",",""))*0.8), 0)</f>
        <v>343</v>
      </c>
      <c r="O170" s="65">
        <f t="shared" si="22"/>
        <v>0.20046620046620045</v>
      </c>
      <c r="P170" s="58">
        <f t="shared" si="23"/>
        <v>35</v>
      </c>
      <c r="Q170" s="66">
        <f t="shared" si="24"/>
        <v>52</v>
      </c>
      <c r="R170" s="58">
        <f t="shared" si="25"/>
        <v>48</v>
      </c>
      <c r="S170" s="67">
        <f t="shared" si="26"/>
        <v>6</v>
      </c>
      <c r="T170" s="36" t="s">
        <v>461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 s="6"/>
    </row>
    <row r="171" spans="1:156" s="1" customFormat="1" ht="29.45">
      <c r="A171" s="42">
        <v>181</v>
      </c>
      <c r="B171" s="37" t="s">
        <v>513</v>
      </c>
      <c r="C171" s="38" t="s">
        <v>514</v>
      </c>
      <c r="D171" s="36" t="s">
        <v>339</v>
      </c>
      <c r="E171" s="43" t="s">
        <v>321</v>
      </c>
      <c r="F171" s="56">
        <f>MROUND(IF(TRIM(T171)="ATHE", D171*0.75, IF(TRIM(T171)="Focus Awards", D171*0.6, D171*0.7)) + 1, 10) - 1</f>
        <v>269</v>
      </c>
      <c r="G171" s="41">
        <f t="shared" si="18"/>
        <v>0.36939313984168864</v>
      </c>
      <c r="H171" s="53">
        <f t="shared" si="19"/>
        <v>0.29023746701846964</v>
      </c>
      <c r="I171" s="36" t="s">
        <v>269</v>
      </c>
      <c r="J171" s="36" t="s">
        <v>481</v>
      </c>
      <c r="K171" s="58">
        <f>MROUND(IF(TRIM(T171)="ATHE", I171*0.75, IF(TRIM(T171)="Focus Awards", I171*0.6, I171*0.7)) + 1, 10) - 1</f>
        <v>319</v>
      </c>
      <c r="L171" s="61">
        <f t="shared" si="20"/>
        <v>0.39215686274509809</v>
      </c>
      <c r="M171" s="65">
        <f t="shared" si="21"/>
        <v>0.30501089324618735</v>
      </c>
      <c r="N171" s="58">
        <f>ROUND(IF(TRIM(T171)="ATHE", VALUE(SUBSTITUTE(SUBSTITUTE(D171,"£",""),",",""))*0.85, VALUE(SUBSTITUTE(SUBSTITUTE(D171,"£",""),",",""))*0.8), 0)</f>
        <v>303</v>
      </c>
      <c r="O171" s="65">
        <f t="shared" si="22"/>
        <v>0.20052770448548818</v>
      </c>
      <c r="P171" s="58">
        <f t="shared" si="23"/>
        <v>35</v>
      </c>
      <c r="Q171" s="66">
        <f t="shared" si="24"/>
        <v>45</v>
      </c>
      <c r="R171" s="58">
        <f t="shared" si="25"/>
        <v>43</v>
      </c>
      <c r="S171" s="67">
        <f t="shared" si="26"/>
        <v>6</v>
      </c>
      <c r="T171" s="36" t="s">
        <v>461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 s="6"/>
    </row>
    <row r="172" spans="1:156" s="1" customFormat="1" ht="29.45">
      <c r="A172" s="36">
        <v>182</v>
      </c>
      <c r="B172" s="37" t="s">
        <v>515</v>
      </c>
      <c r="C172" s="38" t="s">
        <v>516</v>
      </c>
      <c r="D172" s="36" t="s">
        <v>322</v>
      </c>
      <c r="E172" s="43" t="s">
        <v>42</v>
      </c>
      <c r="F172" s="56">
        <f>MROUND(IF(TRIM(T172)="ATHE", D172*0.75, IF(TRIM(T172)="Focus Awards", D172*0.6, D172*0.7)) + 1, 10) - 1</f>
        <v>339</v>
      </c>
      <c r="G172" s="41">
        <f t="shared" si="18"/>
        <v>0.37578288100208768</v>
      </c>
      <c r="H172" s="53">
        <f t="shared" si="19"/>
        <v>0.29227557411273486</v>
      </c>
      <c r="I172" s="36" t="s">
        <v>314</v>
      </c>
      <c r="J172" s="36" t="s">
        <v>315</v>
      </c>
      <c r="K172" s="58">
        <f>MROUND(IF(TRIM(T172)="ATHE", I172*0.75, IF(TRIM(T172)="Focus Awards", I172*0.6, I172*0.7)) + 1, 10) - 1</f>
        <v>409</v>
      </c>
      <c r="L172" s="61">
        <f t="shared" si="20"/>
        <v>0.39723661485319517</v>
      </c>
      <c r="M172" s="65">
        <f t="shared" si="21"/>
        <v>0.29360967184801379</v>
      </c>
      <c r="N172" s="58">
        <f>ROUND(IF(TRIM(T172)="ATHE", VALUE(SUBSTITUTE(SUBSTITUTE(D172,"£",""),",",""))*0.85, VALUE(SUBSTITUTE(SUBSTITUTE(D172,"£",""),",",""))*0.8), 0)</f>
        <v>383</v>
      </c>
      <c r="O172" s="65">
        <f t="shared" si="22"/>
        <v>0.20041753653444672</v>
      </c>
      <c r="P172" s="58">
        <f t="shared" si="23"/>
        <v>35</v>
      </c>
      <c r="Q172" s="66">
        <f t="shared" si="24"/>
        <v>58</v>
      </c>
      <c r="R172" s="58">
        <f t="shared" si="25"/>
        <v>58</v>
      </c>
      <c r="S172" s="67">
        <f t="shared" si="26"/>
        <v>6</v>
      </c>
      <c r="T172" s="36" t="s">
        <v>461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 s="6"/>
    </row>
    <row r="173" spans="1:156" s="1" customFormat="1" ht="29.45">
      <c r="A173" s="42">
        <v>183</v>
      </c>
      <c r="B173" s="37" t="s">
        <v>351</v>
      </c>
      <c r="C173" s="38" t="s">
        <v>517</v>
      </c>
      <c r="D173" s="36" t="s">
        <v>322</v>
      </c>
      <c r="E173" s="43" t="s">
        <v>42</v>
      </c>
      <c r="F173" s="56">
        <f>MROUND(IF(TRIM(T173)="ATHE", D173*0.75, IF(TRIM(T173)="Focus Awards", D173*0.6, D173*0.7)) + 1, 10) - 1</f>
        <v>339</v>
      </c>
      <c r="G173" s="41">
        <f t="shared" si="18"/>
        <v>0.37578288100208768</v>
      </c>
      <c r="H173" s="53">
        <f t="shared" si="19"/>
        <v>0.29227557411273486</v>
      </c>
      <c r="I173" s="36" t="s">
        <v>314</v>
      </c>
      <c r="J173" s="36" t="s">
        <v>315</v>
      </c>
      <c r="K173" s="58">
        <f>MROUND(IF(TRIM(T173)="ATHE", I173*0.75, IF(TRIM(T173)="Focus Awards", I173*0.6, I173*0.7)) + 1, 10) - 1</f>
        <v>409</v>
      </c>
      <c r="L173" s="61">
        <f t="shared" si="20"/>
        <v>0.39723661485319517</v>
      </c>
      <c r="M173" s="65">
        <f t="shared" si="21"/>
        <v>0.29360967184801379</v>
      </c>
      <c r="N173" s="58">
        <f>ROUND(IF(TRIM(T173)="ATHE", VALUE(SUBSTITUTE(SUBSTITUTE(D173,"£",""),",",""))*0.85, VALUE(SUBSTITUTE(SUBSTITUTE(D173,"£",""),",",""))*0.8), 0)</f>
        <v>383</v>
      </c>
      <c r="O173" s="65">
        <f t="shared" si="22"/>
        <v>0.20041753653444672</v>
      </c>
      <c r="P173" s="58">
        <f t="shared" si="23"/>
        <v>35</v>
      </c>
      <c r="Q173" s="66">
        <f t="shared" si="24"/>
        <v>58</v>
      </c>
      <c r="R173" s="58">
        <f t="shared" si="25"/>
        <v>58</v>
      </c>
      <c r="S173" s="67">
        <f t="shared" si="26"/>
        <v>6</v>
      </c>
      <c r="T173" s="36" t="s">
        <v>461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 s="6"/>
    </row>
    <row r="174" spans="1:156" s="1" customFormat="1" ht="29.45">
      <c r="A174" s="36">
        <v>184</v>
      </c>
      <c r="B174" s="37" t="s">
        <v>518</v>
      </c>
      <c r="C174" s="38" t="s">
        <v>519</v>
      </c>
      <c r="D174" s="36" t="s">
        <v>50</v>
      </c>
      <c r="E174" s="43" t="s">
        <v>44</v>
      </c>
      <c r="F174" s="56">
        <f>MROUND(IF(TRIM(T174)="ATHE", D174*0.75, IF(TRIM(T174)="Focus Awards", D174*0.6, D174*0.7)) + 1, 10) - 1</f>
        <v>419</v>
      </c>
      <c r="G174" s="41">
        <f t="shared" si="18"/>
        <v>0.40066777963272115</v>
      </c>
      <c r="H174" s="53">
        <f t="shared" si="19"/>
        <v>0.30050083472454092</v>
      </c>
      <c r="I174" s="36" t="s">
        <v>221</v>
      </c>
      <c r="J174" s="36" t="s">
        <v>405</v>
      </c>
      <c r="K174" s="58">
        <f>MROUND(IF(TRIM(T174)="ATHE", I174*0.75, IF(TRIM(T174)="Focus Awards", I174*0.6, I174*0.7)) + 1, 10) - 1</f>
        <v>499</v>
      </c>
      <c r="L174" s="61">
        <f t="shared" si="20"/>
        <v>0.40333796940194711</v>
      </c>
      <c r="M174" s="65">
        <f t="shared" si="21"/>
        <v>0.305980528511822</v>
      </c>
      <c r="N174" s="58">
        <f>ROUND(IF(TRIM(T174)="ATHE", VALUE(SUBSTITUTE(SUBSTITUTE(D174,"£",""),",",""))*0.85, VALUE(SUBSTITUTE(SUBSTITUTE(D174,"£",""),",",""))*0.8), 0)</f>
        <v>479</v>
      </c>
      <c r="O174" s="65">
        <f t="shared" si="22"/>
        <v>0.20033388981636058</v>
      </c>
      <c r="P174" s="58">
        <f t="shared" si="23"/>
        <v>35</v>
      </c>
      <c r="Q174" s="66">
        <f t="shared" si="24"/>
        <v>74</v>
      </c>
      <c r="R174" s="58">
        <f t="shared" si="25"/>
        <v>74</v>
      </c>
      <c r="S174" s="67">
        <f t="shared" si="26"/>
        <v>6</v>
      </c>
      <c r="T174" s="36" t="s">
        <v>461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 s="6"/>
    </row>
    <row r="175" spans="1:156" s="1" customFormat="1" ht="29.45">
      <c r="A175" s="42">
        <v>185</v>
      </c>
      <c r="B175" s="37" t="s">
        <v>520</v>
      </c>
      <c r="C175" s="38" t="s">
        <v>521</v>
      </c>
      <c r="D175" s="36" t="s">
        <v>48</v>
      </c>
      <c r="E175" s="43" t="s">
        <v>42</v>
      </c>
      <c r="F175" s="56">
        <f>MROUND(IF(TRIM(T175)="ATHE", D175*0.75, IF(TRIM(T175)="Focus Awards", D175*0.6, D175*0.7)) + 1, 10) - 1</f>
        <v>349</v>
      </c>
      <c r="G175" s="41">
        <f t="shared" si="18"/>
        <v>0.40080160320641278</v>
      </c>
      <c r="H175" s="53">
        <f t="shared" si="19"/>
        <v>0.30060120240480959</v>
      </c>
      <c r="I175" s="36" t="s">
        <v>50</v>
      </c>
      <c r="J175" s="36" t="s">
        <v>44</v>
      </c>
      <c r="K175" s="58">
        <f>MROUND(IF(TRIM(T175)="ATHE", I175*0.75, IF(TRIM(T175)="Focus Awards", I175*0.6, I175*0.7)) + 1, 10) - 1</f>
        <v>419</v>
      </c>
      <c r="L175" s="61">
        <f t="shared" si="20"/>
        <v>0.40066777963272115</v>
      </c>
      <c r="M175" s="65">
        <f t="shared" si="21"/>
        <v>0.30050083472454092</v>
      </c>
      <c r="N175" s="58">
        <f>ROUND(IF(TRIM(T175)="ATHE", VALUE(SUBSTITUTE(SUBSTITUTE(D175,"£",""),",",""))*0.85, VALUE(SUBSTITUTE(SUBSTITUTE(D175,"£",""),",",""))*0.8), 0)</f>
        <v>399</v>
      </c>
      <c r="O175" s="65">
        <f t="shared" si="22"/>
        <v>0.20040080160320639</v>
      </c>
      <c r="P175" s="58">
        <f t="shared" si="23"/>
        <v>35</v>
      </c>
      <c r="Q175" s="66">
        <f t="shared" si="24"/>
        <v>61</v>
      </c>
      <c r="R175" s="58">
        <f t="shared" si="25"/>
        <v>59</v>
      </c>
      <c r="S175" s="67">
        <f t="shared" si="26"/>
        <v>6</v>
      </c>
      <c r="T175" s="36" t="s">
        <v>461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 s="6"/>
    </row>
    <row r="176" spans="1:156" s="1" customFormat="1" ht="29.45">
      <c r="A176" s="36">
        <v>186</v>
      </c>
      <c r="B176" s="37" t="s">
        <v>522</v>
      </c>
      <c r="C176" s="38" t="s">
        <v>523</v>
      </c>
      <c r="D176" s="36" t="s">
        <v>322</v>
      </c>
      <c r="E176" s="43" t="s">
        <v>42</v>
      </c>
      <c r="F176" s="56">
        <f>MROUND(IF(TRIM(T176)="ATHE", D176*0.75, IF(TRIM(T176)="Focus Awards", D176*0.6, D176*0.7)) + 1, 10) - 1</f>
        <v>339</v>
      </c>
      <c r="G176" s="41">
        <f t="shared" si="18"/>
        <v>0.37578288100208768</v>
      </c>
      <c r="H176" s="53">
        <f t="shared" si="19"/>
        <v>0.29227557411273486</v>
      </c>
      <c r="I176" s="36" t="s">
        <v>314</v>
      </c>
      <c r="J176" s="36" t="s">
        <v>315</v>
      </c>
      <c r="K176" s="58">
        <f>MROUND(IF(TRIM(T176)="ATHE", I176*0.75, IF(TRIM(T176)="Focus Awards", I176*0.6, I176*0.7)) + 1, 10) - 1</f>
        <v>409</v>
      </c>
      <c r="L176" s="61">
        <f t="shared" si="20"/>
        <v>0.39723661485319517</v>
      </c>
      <c r="M176" s="65">
        <f t="shared" si="21"/>
        <v>0.29360967184801379</v>
      </c>
      <c r="N176" s="58">
        <f>ROUND(IF(TRIM(T176)="ATHE", VALUE(SUBSTITUTE(SUBSTITUTE(D176,"£",""),",",""))*0.85, VALUE(SUBSTITUTE(SUBSTITUTE(D176,"£",""),",",""))*0.8), 0)</f>
        <v>383</v>
      </c>
      <c r="O176" s="65">
        <f t="shared" si="22"/>
        <v>0.20041753653444672</v>
      </c>
      <c r="P176" s="58">
        <f t="shared" si="23"/>
        <v>35</v>
      </c>
      <c r="Q176" s="66">
        <f t="shared" si="24"/>
        <v>58</v>
      </c>
      <c r="R176" s="58">
        <f t="shared" si="25"/>
        <v>58</v>
      </c>
      <c r="S176" s="67">
        <f t="shared" si="26"/>
        <v>6</v>
      </c>
      <c r="T176" s="36" t="s">
        <v>461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 s="6"/>
    </row>
    <row r="177" spans="1:156" s="1" customFormat="1" ht="29.45">
      <c r="A177" s="42">
        <v>187</v>
      </c>
      <c r="B177" s="37" t="s">
        <v>524</v>
      </c>
      <c r="C177" s="38" t="s">
        <v>525</v>
      </c>
      <c r="D177" s="36" t="s">
        <v>48</v>
      </c>
      <c r="E177" s="43" t="s">
        <v>42</v>
      </c>
      <c r="F177" s="56">
        <f>MROUND(IF(TRIM(T177)="ATHE", D177*0.75, IF(TRIM(T177)="Focus Awards", D177*0.6, D177*0.7)) + 1, 10) - 1</f>
        <v>349</v>
      </c>
      <c r="G177" s="41">
        <f t="shared" si="18"/>
        <v>0.40080160320641278</v>
      </c>
      <c r="H177" s="53">
        <f t="shared" si="19"/>
        <v>0.30060120240480959</v>
      </c>
      <c r="I177" s="36" t="s">
        <v>50</v>
      </c>
      <c r="J177" s="36" t="s">
        <v>44</v>
      </c>
      <c r="K177" s="58">
        <f>MROUND(IF(TRIM(T177)="ATHE", I177*0.75, IF(TRIM(T177)="Focus Awards", I177*0.6, I177*0.7)) + 1, 10) - 1</f>
        <v>419</v>
      </c>
      <c r="L177" s="61">
        <f t="shared" si="20"/>
        <v>0.40066777963272115</v>
      </c>
      <c r="M177" s="65">
        <f t="shared" si="21"/>
        <v>0.30050083472454092</v>
      </c>
      <c r="N177" s="58">
        <f>ROUND(IF(TRIM(T177)="ATHE", VALUE(SUBSTITUTE(SUBSTITUTE(D177,"£",""),",",""))*0.85, VALUE(SUBSTITUTE(SUBSTITUTE(D177,"£",""),",",""))*0.8), 0)</f>
        <v>399</v>
      </c>
      <c r="O177" s="65">
        <f t="shared" si="22"/>
        <v>0.20040080160320639</v>
      </c>
      <c r="P177" s="58">
        <f t="shared" si="23"/>
        <v>35</v>
      </c>
      <c r="Q177" s="66">
        <f t="shared" si="24"/>
        <v>61</v>
      </c>
      <c r="R177" s="58">
        <f t="shared" si="25"/>
        <v>59</v>
      </c>
      <c r="S177" s="67">
        <f t="shared" si="26"/>
        <v>6</v>
      </c>
      <c r="T177" s="36" t="s">
        <v>461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 s="6"/>
    </row>
    <row r="178" spans="1:156" s="1" customFormat="1" ht="29.45">
      <c r="A178" s="36">
        <v>188</v>
      </c>
      <c r="B178" s="37" t="s">
        <v>526</v>
      </c>
      <c r="C178" s="38" t="s">
        <v>527</v>
      </c>
      <c r="D178" s="36" t="s">
        <v>48</v>
      </c>
      <c r="E178" s="43" t="s">
        <v>42</v>
      </c>
      <c r="F178" s="56">
        <f>MROUND(IF(TRIM(T178)="ATHE", D178*0.75, IF(TRIM(T178)="Focus Awards", D178*0.6, D178*0.7)) + 1, 10) - 1</f>
        <v>349</v>
      </c>
      <c r="G178" s="41">
        <f t="shared" si="18"/>
        <v>0.40080160320641278</v>
      </c>
      <c r="H178" s="53">
        <f t="shared" si="19"/>
        <v>0.30060120240480959</v>
      </c>
      <c r="I178" s="36" t="s">
        <v>50</v>
      </c>
      <c r="J178" s="36" t="s">
        <v>44</v>
      </c>
      <c r="K178" s="58">
        <f>MROUND(IF(TRIM(T178)="ATHE", I178*0.75, IF(TRIM(T178)="Focus Awards", I178*0.6, I178*0.7)) + 1, 10) - 1</f>
        <v>419</v>
      </c>
      <c r="L178" s="61">
        <f t="shared" si="20"/>
        <v>0.40066777963272115</v>
      </c>
      <c r="M178" s="65">
        <f t="shared" si="21"/>
        <v>0.30050083472454092</v>
      </c>
      <c r="N178" s="58">
        <f>ROUND(IF(TRIM(T178)="ATHE", VALUE(SUBSTITUTE(SUBSTITUTE(D178,"£",""),",",""))*0.85, VALUE(SUBSTITUTE(SUBSTITUTE(D178,"£",""),",",""))*0.8), 0)</f>
        <v>399</v>
      </c>
      <c r="O178" s="65">
        <f t="shared" si="22"/>
        <v>0.20040080160320639</v>
      </c>
      <c r="P178" s="58">
        <f t="shared" si="23"/>
        <v>35</v>
      </c>
      <c r="Q178" s="66">
        <f t="shared" si="24"/>
        <v>61</v>
      </c>
      <c r="R178" s="58">
        <f t="shared" si="25"/>
        <v>59</v>
      </c>
      <c r="S178" s="67">
        <f t="shared" si="26"/>
        <v>6</v>
      </c>
      <c r="T178" s="36" t="s">
        <v>461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 s="6"/>
    </row>
    <row r="179" spans="1:156" s="1" customFormat="1">
      <c r="A179" s="42">
        <v>189</v>
      </c>
      <c r="B179" s="37" t="s">
        <v>528</v>
      </c>
      <c r="C179" s="38" t="s">
        <v>529</v>
      </c>
      <c r="D179" s="36" t="s">
        <v>90</v>
      </c>
      <c r="E179" s="43" t="s">
        <v>346</v>
      </c>
      <c r="F179" s="56">
        <f>MROUND(IF(TRIM(T179)="ATHE", D179*0.75, IF(TRIM(T179)="Focus Awards", D179*0.6, D179*0.7)) + 1, 10) - 1</f>
        <v>689</v>
      </c>
      <c r="G179" s="41">
        <f t="shared" si="18"/>
        <v>0.40444893832153694</v>
      </c>
      <c r="H179" s="53">
        <f t="shared" si="19"/>
        <v>0.30333670374115262</v>
      </c>
      <c r="I179" s="36" t="s">
        <v>92</v>
      </c>
      <c r="J179" s="36" t="s">
        <v>348</v>
      </c>
      <c r="K179" s="58">
        <f>MROUND(IF(TRIM(T179)="ATHE", I179*0.75, IF(TRIM(T179)="Focus Awards", I179*0.6, I179*0.7)) + 1, 10) - 1</f>
        <v>829</v>
      </c>
      <c r="L179" s="61">
        <f t="shared" si="20"/>
        <v>0.40370058873002523</v>
      </c>
      <c r="M179" s="65">
        <f t="shared" si="21"/>
        <v>0.3027754415475189</v>
      </c>
      <c r="N179" s="58">
        <f>ROUND(IF(TRIM(T179)="ATHE", VALUE(SUBSTITUTE(SUBSTITUTE(D179,"£",""),",",""))*0.85, VALUE(SUBSTITUTE(SUBSTITUTE(D179,"£",""),",",""))*0.8), 0)</f>
        <v>791</v>
      </c>
      <c r="O179" s="65">
        <f t="shared" si="22"/>
        <v>0.20020222446916081</v>
      </c>
      <c r="P179" s="58">
        <f t="shared" si="23"/>
        <v>99</v>
      </c>
      <c r="Q179" s="66">
        <f t="shared" si="24"/>
        <v>77</v>
      </c>
      <c r="R179" s="58">
        <f t="shared" si="25"/>
        <v>76</v>
      </c>
      <c r="S179" s="67">
        <f t="shared" si="26"/>
        <v>9</v>
      </c>
      <c r="T179" s="36" t="s">
        <v>461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 s="6"/>
    </row>
    <row r="180" spans="1:156" s="1" customFormat="1" ht="29.45">
      <c r="A180" s="36">
        <v>190</v>
      </c>
      <c r="B180" s="37" t="s">
        <v>530</v>
      </c>
      <c r="C180" s="38" t="s">
        <v>531</v>
      </c>
      <c r="D180" s="36" t="s">
        <v>532</v>
      </c>
      <c r="E180" s="43" t="s">
        <v>533</v>
      </c>
      <c r="F180" s="56">
        <f>MROUND(IF(TRIM(T180)="ATHE", D180*0.75, IF(TRIM(T180)="Focus Awards", D180*0.6, D180*0.7)) + 1, 10) - 1</f>
        <v>1389</v>
      </c>
      <c r="G180" s="41">
        <f t="shared" si="18"/>
        <v>0.40221216691804929</v>
      </c>
      <c r="H180" s="53">
        <f t="shared" si="19"/>
        <v>0.30165912518853699</v>
      </c>
      <c r="I180" s="36" t="s">
        <v>534</v>
      </c>
      <c r="J180" s="36" t="s">
        <v>535</v>
      </c>
      <c r="K180" s="58">
        <f>MROUND(IF(TRIM(T180)="ATHE", I180*0.75, IF(TRIM(T180)="Focus Awards", I180*0.6, I180*0.7)) + 1, 10) - 1</f>
        <v>1669</v>
      </c>
      <c r="L180" s="61">
        <f t="shared" si="20"/>
        <v>0.401841774801172</v>
      </c>
      <c r="M180" s="65">
        <f t="shared" si="21"/>
        <v>0.30138133110087906</v>
      </c>
      <c r="N180" s="58">
        <f>ROUND(IF(TRIM(T180)="ATHE", VALUE(SUBSTITUTE(SUBSTITUTE(D180,"£",""),",",""))*0.85, VALUE(SUBSTITUTE(SUBSTITUTE(D180,"£",""),",",""))*0.8), 0)</f>
        <v>1591</v>
      </c>
      <c r="O180" s="65">
        <f t="shared" si="22"/>
        <v>0.20010055304172947</v>
      </c>
      <c r="P180" s="58">
        <f t="shared" si="23"/>
        <v>99</v>
      </c>
      <c r="Q180" s="66">
        <f t="shared" si="24"/>
        <v>166</v>
      </c>
      <c r="R180" s="58">
        <f t="shared" si="25"/>
        <v>164</v>
      </c>
      <c r="S180" s="67">
        <f t="shared" si="26"/>
        <v>9</v>
      </c>
      <c r="T180" s="36" t="s">
        <v>461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 s="6"/>
    </row>
    <row r="181" spans="1:156" s="1" customFormat="1" ht="29.45">
      <c r="A181" s="42">
        <v>191</v>
      </c>
      <c r="B181" s="37" t="s">
        <v>536</v>
      </c>
      <c r="C181" s="38" t="s">
        <v>537</v>
      </c>
      <c r="D181" s="36" t="s">
        <v>79</v>
      </c>
      <c r="E181" s="43" t="s">
        <v>80</v>
      </c>
      <c r="F181" s="56">
        <f>MROUND(IF(TRIM(T181)="ATHE", D181*0.75, IF(TRIM(T181)="Focus Awards", D181*0.6, D181*0.7)) + 1, 10) - 1</f>
        <v>1089</v>
      </c>
      <c r="G181" s="41">
        <f t="shared" si="18"/>
        <v>0.40025823111684955</v>
      </c>
      <c r="H181" s="53">
        <f t="shared" si="19"/>
        <v>0.29696578437701748</v>
      </c>
      <c r="I181" s="36" t="s">
        <v>81</v>
      </c>
      <c r="J181" s="36" t="s">
        <v>82</v>
      </c>
      <c r="K181" s="58">
        <f>MROUND(IF(TRIM(T181)="ATHE", I181*0.75, IF(TRIM(T181)="Focus Awards", I181*0.6, I181*0.7)) + 1, 10) - 1</f>
        <v>1299</v>
      </c>
      <c r="L181" s="61">
        <f t="shared" si="20"/>
        <v>0.39806347498655192</v>
      </c>
      <c r="M181" s="65">
        <f t="shared" si="21"/>
        <v>0.30123722431414734</v>
      </c>
      <c r="N181" s="58">
        <f>ROUND(IF(TRIM(T181)="ATHE", VALUE(SUBSTITUTE(SUBSTITUTE(D181,"£",""),",",""))*0.85, VALUE(SUBSTITUTE(SUBSTITUTE(D181,"£",""),",",""))*0.8), 0)</f>
        <v>1239</v>
      </c>
      <c r="O181" s="65">
        <f t="shared" si="22"/>
        <v>0.20012911555842483</v>
      </c>
      <c r="P181" s="58">
        <f t="shared" si="23"/>
        <v>99</v>
      </c>
      <c r="Q181" s="66">
        <f t="shared" si="24"/>
        <v>127</v>
      </c>
      <c r="R181" s="58">
        <f t="shared" si="25"/>
        <v>124</v>
      </c>
      <c r="S181" s="67">
        <f t="shared" si="26"/>
        <v>9</v>
      </c>
      <c r="T181" s="36" t="s">
        <v>461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 s="6"/>
    </row>
    <row r="182" spans="1:156" s="1" customFormat="1" ht="29.45">
      <c r="A182" s="36">
        <v>192</v>
      </c>
      <c r="B182" s="37" t="s">
        <v>538</v>
      </c>
      <c r="C182" s="38" t="s">
        <v>539</v>
      </c>
      <c r="D182" s="36" t="s">
        <v>540</v>
      </c>
      <c r="E182" s="43" t="s">
        <v>541</v>
      </c>
      <c r="F182" s="56">
        <f>MROUND(IF(TRIM(T182)="ATHE", D182*0.75, IF(TRIM(T182)="Focus Awards", D182*0.6, D182*0.7)) + 1, 10) - 1</f>
        <v>1309</v>
      </c>
      <c r="G182" s="41">
        <f t="shared" si="18"/>
        <v>0.37453183520599254</v>
      </c>
      <c r="H182" s="53">
        <f t="shared" si="19"/>
        <v>0.29962546816479396</v>
      </c>
      <c r="I182" s="36" t="s">
        <v>542</v>
      </c>
      <c r="J182" s="36" t="s">
        <v>543</v>
      </c>
      <c r="K182" s="58">
        <f>MROUND(IF(TRIM(T182)="ATHE", I182*0.75, IF(TRIM(T182)="Focus Awards", I182*0.6, I182*0.7)) + 1, 10) - 1</f>
        <v>1569</v>
      </c>
      <c r="L182" s="61">
        <f t="shared" si="20"/>
        <v>0.40196516301920504</v>
      </c>
      <c r="M182" s="65">
        <f t="shared" si="21"/>
        <v>0.29924073246985261</v>
      </c>
      <c r="N182" s="58">
        <f>ROUND(IF(TRIM(T182)="ATHE", VALUE(SUBSTITUTE(SUBSTITUTE(D182,"£",""),",",""))*0.85, VALUE(SUBSTITUTE(SUBSTITUTE(D182,"£",""),",",""))*0.8), 0)</f>
        <v>1495</v>
      </c>
      <c r="O182" s="65">
        <f t="shared" si="22"/>
        <v>0.20010700909577317</v>
      </c>
      <c r="P182" s="58">
        <f t="shared" si="23"/>
        <v>99</v>
      </c>
      <c r="Q182" s="66">
        <f t="shared" si="24"/>
        <v>156</v>
      </c>
      <c r="R182" s="58">
        <f t="shared" si="25"/>
        <v>148</v>
      </c>
      <c r="S182" s="67">
        <f t="shared" si="26"/>
        <v>9</v>
      </c>
      <c r="T182" s="36" t="s">
        <v>461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 s="6"/>
    </row>
    <row r="183" spans="1:156" s="1" customFormat="1" ht="29.45">
      <c r="A183" s="42">
        <v>193</v>
      </c>
      <c r="B183" s="37" t="s">
        <v>544</v>
      </c>
      <c r="C183" s="38" t="s">
        <v>545</v>
      </c>
      <c r="D183" s="36" t="s">
        <v>532</v>
      </c>
      <c r="E183" s="43" t="s">
        <v>533</v>
      </c>
      <c r="F183" s="56">
        <f>MROUND(IF(TRIM(T183)="ATHE", D183*0.75, IF(TRIM(T183)="Focus Awards", D183*0.6, D183*0.7)) + 1, 10) - 1</f>
        <v>1389</v>
      </c>
      <c r="G183" s="41">
        <f t="shared" si="18"/>
        <v>0.40221216691804929</v>
      </c>
      <c r="H183" s="53">
        <f t="shared" si="19"/>
        <v>0.30165912518853699</v>
      </c>
      <c r="I183" s="36" t="s">
        <v>534</v>
      </c>
      <c r="J183" s="36" t="s">
        <v>535</v>
      </c>
      <c r="K183" s="58">
        <f>MROUND(IF(TRIM(T183)="ATHE", I183*0.75, IF(TRIM(T183)="Focus Awards", I183*0.6, I183*0.7)) + 1, 10) - 1</f>
        <v>1669</v>
      </c>
      <c r="L183" s="61">
        <f t="shared" si="20"/>
        <v>0.401841774801172</v>
      </c>
      <c r="M183" s="65">
        <f t="shared" si="21"/>
        <v>0.30138133110087906</v>
      </c>
      <c r="N183" s="58">
        <f>ROUND(IF(TRIM(T183)="ATHE", VALUE(SUBSTITUTE(SUBSTITUTE(D183,"£",""),",",""))*0.85, VALUE(SUBSTITUTE(SUBSTITUTE(D183,"£",""),",",""))*0.8), 0)</f>
        <v>1591</v>
      </c>
      <c r="O183" s="65">
        <f t="shared" si="22"/>
        <v>0.20010055304172947</v>
      </c>
      <c r="P183" s="58">
        <f t="shared" si="23"/>
        <v>99</v>
      </c>
      <c r="Q183" s="66">
        <f t="shared" si="24"/>
        <v>166</v>
      </c>
      <c r="R183" s="58">
        <f t="shared" si="25"/>
        <v>164</v>
      </c>
      <c r="S183" s="67">
        <f t="shared" si="26"/>
        <v>9</v>
      </c>
      <c r="T183" s="36" t="s">
        <v>461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 s="6"/>
    </row>
    <row r="184" spans="1:156" s="1" customFormat="1">
      <c r="A184" s="36">
        <v>194</v>
      </c>
      <c r="B184" s="37" t="s">
        <v>365</v>
      </c>
      <c r="C184" s="38" t="s">
        <v>546</v>
      </c>
      <c r="D184" s="36" t="s">
        <v>547</v>
      </c>
      <c r="E184" s="43" t="s">
        <v>548</v>
      </c>
      <c r="F184" s="56">
        <f>MROUND(IF(TRIM(T184)="ATHE", D184*0.75, IF(TRIM(T184)="Focus Awards", D184*0.6, D184*0.7)) + 1, 10) - 1</f>
        <v>569</v>
      </c>
      <c r="G184" s="41">
        <f t="shared" si="18"/>
        <v>0.3785103785103785</v>
      </c>
      <c r="H184" s="53">
        <f t="shared" si="19"/>
        <v>0.30525030525030528</v>
      </c>
      <c r="I184" s="36" t="s">
        <v>345</v>
      </c>
      <c r="J184" s="36" t="s">
        <v>346</v>
      </c>
      <c r="K184" s="58">
        <f>MROUND(IF(TRIM(T184)="ATHE", I184*0.75, IF(TRIM(T184)="Focus Awards", I184*0.6, I184*0.7)) + 1, 10) - 1</f>
        <v>689</v>
      </c>
      <c r="L184" s="61">
        <f t="shared" si="20"/>
        <v>0.39836567926455568</v>
      </c>
      <c r="M184" s="65">
        <f t="shared" si="21"/>
        <v>0.29622063329928494</v>
      </c>
      <c r="N184" s="58">
        <f>ROUND(IF(TRIM(T184)="ATHE", VALUE(SUBSTITUTE(SUBSTITUTE(D184,"£",""),",",""))*0.85, VALUE(SUBSTITUTE(SUBSTITUTE(D184,"£",""),",",""))*0.8), 0)</f>
        <v>655</v>
      </c>
      <c r="O184" s="65">
        <f t="shared" si="22"/>
        <v>0.2002442002442002</v>
      </c>
      <c r="P184" s="58">
        <f t="shared" si="23"/>
        <v>99</v>
      </c>
      <c r="Q184" s="66">
        <f t="shared" si="24"/>
        <v>62</v>
      </c>
      <c r="R184" s="58">
        <f t="shared" si="25"/>
        <v>60</v>
      </c>
      <c r="S184" s="67">
        <f t="shared" si="26"/>
        <v>9</v>
      </c>
      <c r="T184" s="36" t="s">
        <v>461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 s="6"/>
    </row>
    <row r="185" spans="1:156" s="1" customFormat="1">
      <c r="A185" s="42">
        <v>195</v>
      </c>
      <c r="B185" s="37" t="s">
        <v>549</v>
      </c>
      <c r="C185" s="38" t="s">
        <v>550</v>
      </c>
      <c r="D185" s="36" t="s">
        <v>551</v>
      </c>
      <c r="E185" s="43" t="s">
        <v>322</v>
      </c>
      <c r="F185" s="56">
        <f>MROUND(IF(TRIM(T185)="ATHE", D185*0.75, IF(TRIM(T185)="Focus Awards", D185*0.6, D185*0.7)) + 1, 10) - 1</f>
        <v>539</v>
      </c>
      <c r="G185" s="41">
        <f t="shared" si="18"/>
        <v>0.37711313394018209</v>
      </c>
      <c r="H185" s="53">
        <f t="shared" si="19"/>
        <v>0.29908972691807545</v>
      </c>
      <c r="I185" s="36" t="s">
        <v>552</v>
      </c>
      <c r="J185" s="36" t="s">
        <v>271</v>
      </c>
      <c r="K185" s="58">
        <f>MROUND(IF(TRIM(T185)="ATHE", I185*0.75, IF(TRIM(T185)="Focus Awards", I185*0.6, I185*0.7)) + 1, 10) - 1</f>
        <v>639</v>
      </c>
      <c r="L185" s="61">
        <f t="shared" si="20"/>
        <v>0.40261153427638741</v>
      </c>
      <c r="M185" s="65">
        <f t="shared" si="21"/>
        <v>0.30467899891186068</v>
      </c>
      <c r="N185" s="58">
        <f>ROUND(IF(TRIM(T185)="ATHE", VALUE(SUBSTITUTE(SUBSTITUTE(D185,"£",""),",",""))*0.85, VALUE(SUBSTITUTE(SUBSTITUTE(D185,"£",""),",",""))*0.8), 0)</f>
        <v>615</v>
      </c>
      <c r="O185" s="65">
        <f t="shared" si="22"/>
        <v>0.20026007802340706</v>
      </c>
      <c r="P185" s="58">
        <f t="shared" si="23"/>
        <v>99</v>
      </c>
      <c r="Q185" s="66">
        <f t="shared" si="24"/>
        <v>58</v>
      </c>
      <c r="R185" s="58">
        <f t="shared" si="25"/>
        <v>52</v>
      </c>
      <c r="S185" s="67">
        <f t="shared" si="26"/>
        <v>9</v>
      </c>
      <c r="T185" s="36" t="s">
        <v>461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 s="6"/>
    </row>
    <row r="186" spans="1:156" s="1" customFormat="1">
      <c r="A186" s="36">
        <v>196</v>
      </c>
      <c r="B186" s="37" t="s">
        <v>553</v>
      </c>
      <c r="C186" s="38" t="s">
        <v>554</v>
      </c>
      <c r="D186" s="36" t="s">
        <v>128</v>
      </c>
      <c r="E186" s="43" t="s">
        <v>268</v>
      </c>
      <c r="F186" s="56">
        <f>MROUND(IF(TRIM(T186)="ATHE", D186*0.75, IF(TRIM(T186)="Focus Awards", D186*0.6, D186*0.7)) + 1, 10) - 1</f>
        <v>879</v>
      </c>
      <c r="G186" s="41">
        <f t="shared" si="18"/>
        <v>0.39714058776806993</v>
      </c>
      <c r="H186" s="53">
        <f t="shared" si="19"/>
        <v>0.30182684670373316</v>
      </c>
      <c r="I186" s="36" t="s">
        <v>130</v>
      </c>
      <c r="J186" s="36" t="s">
        <v>270</v>
      </c>
      <c r="K186" s="58">
        <f>MROUND(IF(TRIM(T186)="ATHE", I186*0.75, IF(TRIM(T186)="Focus Awards", I186*0.6, I186*0.7)) + 1, 10) - 1</f>
        <v>1059</v>
      </c>
      <c r="L186" s="61">
        <f t="shared" si="20"/>
        <v>0.39761431411530812</v>
      </c>
      <c r="M186" s="65">
        <f t="shared" si="21"/>
        <v>0.29821073558648115</v>
      </c>
      <c r="N186" s="58">
        <f>ROUND(IF(TRIM(T186)="ATHE", VALUE(SUBSTITUTE(SUBSTITUTE(D186,"£",""),",",""))*0.85, VALUE(SUBSTITUTE(SUBSTITUTE(D186,"£",""),",",""))*0.8), 0)</f>
        <v>1007</v>
      </c>
      <c r="O186" s="65">
        <f t="shared" si="22"/>
        <v>0.20015885623510721</v>
      </c>
      <c r="P186" s="58">
        <f t="shared" si="23"/>
        <v>99</v>
      </c>
      <c r="Q186" s="66">
        <f t="shared" si="24"/>
        <v>101</v>
      </c>
      <c r="R186" s="58">
        <f t="shared" si="25"/>
        <v>100</v>
      </c>
      <c r="S186" s="67">
        <f t="shared" si="26"/>
        <v>9</v>
      </c>
      <c r="T186" s="36" t="s">
        <v>461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 s="6"/>
    </row>
    <row r="187" spans="1:156" s="1" customFormat="1" ht="29.45">
      <c r="A187" s="42">
        <v>197</v>
      </c>
      <c r="B187" s="37" t="s">
        <v>555</v>
      </c>
      <c r="C187" s="38" t="s">
        <v>556</v>
      </c>
      <c r="D187" s="36" t="s">
        <v>90</v>
      </c>
      <c r="E187" s="43" t="s">
        <v>346</v>
      </c>
      <c r="F187" s="56">
        <f>MROUND(IF(TRIM(T187)="ATHE", D187*0.75, IF(TRIM(T187)="Focus Awards", D187*0.6, D187*0.7)) + 1, 10) - 1</f>
        <v>689</v>
      </c>
      <c r="G187" s="41">
        <f t="shared" si="18"/>
        <v>0.40444893832153694</v>
      </c>
      <c r="H187" s="53">
        <f t="shared" si="19"/>
        <v>0.30333670374115262</v>
      </c>
      <c r="I187" s="36" t="s">
        <v>92</v>
      </c>
      <c r="J187" s="36" t="s">
        <v>348</v>
      </c>
      <c r="K187" s="58">
        <f>MROUND(IF(TRIM(T187)="ATHE", I187*0.75, IF(TRIM(T187)="Focus Awards", I187*0.6, I187*0.7)) + 1, 10) - 1</f>
        <v>829</v>
      </c>
      <c r="L187" s="61">
        <f t="shared" si="20"/>
        <v>0.40370058873002523</v>
      </c>
      <c r="M187" s="65">
        <f t="shared" si="21"/>
        <v>0.3027754415475189</v>
      </c>
      <c r="N187" s="58">
        <f>ROUND(IF(TRIM(T187)="ATHE", VALUE(SUBSTITUTE(SUBSTITUTE(D187,"£",""),",",""))*0.85, VALUE(SUBSTITUTE(SUBSTITUTE(D187,"£",""),",",""))*0.8), 0)</f>
        <v>791</v>
      </c>
      <c r="O187" s="65">
        <f t="shared" si="22"/>
        <v>0.20020222446916081</v>
      </c>
      <c r="P187" s="58">
        <f t="shared" si="23"/>
        <v>99</v>
      </c>
      <c r="Q187" s="66">
        <f t="shared" si="24"/>
        <v>77</v>
      </c>
      <c r="R187" s="58">
        <f t="shared" si="25"/>
        <v>76</v>
      </c>
      <c r="S187" s="67">
        <f t="shared" si="26"/>
        <v>9</v>
      </c>
      <c r="T187" s="36" t="s">
        <v>461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 s="6"/>
    </row>
    <row r="188" spans="1:156" s="1" customFormat="1" ht="29.45">
      <c r="A188" s="36">
        <v>198</v>
      </c>
      <c r="B188" s="37" t="s">
        <v>557</v>
      </c>
      <c r="C188" s="38" t="s">
        <v>558</v>
      </c>
      <c r="D188" s="36" t="s">
        <v>559</v>
      </c>
      <c r="E188" s="43" t="s">
        <v>560</v>
      </c>
      <c r="F188" s="56">
        <f>MROUND(IF(TRIM(T188)="ATHE", D188*0.75, IF(TRIM(T188)="Focus Awards", D188*0.6, D188*0.7)) + 1, 10) - 1</f>
        <v>709</v>
      </c>
      <c r="G188" s="41">
        <f t="shared" si="18"/>
        <v>0.37661050545094155</v>
      </c>
      <c r="H188" s="53">
        <f t="shared" si="19"/>
        <v>0.29732408325074333</v>
      </c>
      <c r="I188" s="36" t="s">
        <v>561</v>
      </c>
      <c r="J188" s="36" t="s">
        <v>562</v>
      </c>
      <c r="K188" s="58">
        <f>MROUND(IF(TRIM(T188)="ATHE", I188*0.75, IF(TRIM(T188)="Focus Awards", I188*0.6, I188*0.7)) + 1, 10) - 1</f>
        <v>849</v>
      </c>
      <c r="L188" s="61">
        <f t="shared" si="20"/>
        <v>0.39702233250620345</v>
      </c>
      <c r="M188" s="65">
        <f t="shared" si="21"/>
        <v>0.29776674937965264</v>
      </c>
      <c r="N188" s="58">
        <f>ROUND(IF(TRIM(T188)="ATHE", VALUE(SUBSTITUTE(SUBSTITUTE(D188,"£",""),",",""))*0.85, VALUE(SUBSTITUTE(SUBSTITUTE(D188,"£",""),",",""))*0.8), 0)</f>
        <v>807</v>
      </c>
      <c r="O188" s="65">
        <f t="shared" si="22"/>
        <v>0.20019821605550048</v>
      </c>
      <c r="P188" s="58">
        <f t="shared" si="23"/>
        <v>99</v>
      </c>
      <c r="Q188" s="66">
        <f t="shared" si="24"/>
        <v>79</v>
      </c>
      <c r="R188" s="58">
        <f t="shared" si="25"/>
        <v>76</v>
      </c>
      <c r="S188" s="67">
        <f t="shared" si="26"/>
        <v>9</v>
      </c>
      <c r="T188" s="36" t="s">
        <v>461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 s="6"/>
    </row>
    <row r="189" spans="1:156" s="1" customFormat="1">
      <c r="A189" s="42">
        <v>199</v>
      </c>
      <c r="B189" s="37" t="s">
        <v>563</v>
      </c>
      <c r="C189" s="38" t="s">
        <v>564</v>
      </c>
      <c r="D189" s="36" t="s">
        <v>565</v>
      </c>
      <c r="E189" s="43" t="s">
        <v>261</v>
      </c>
      <c r="F189" s="56">
        <f>MROUND(IF(TRIM(T189)="ATHE", D189*0.75, IF(TRIM(T189)="Focus Awards", D189*0.6, D189*0.7)) + 1, 10) - 1</f>
        <v>739</v>
      </c>
      <c r="G189" s="41">
        <f t="shared" si="18"/>
        <v>0.37771482530689326</v>
      </c>
      <c r="H189" s="53">
        <f t="shared" si="19"/>
        <v>0.30217186024551468</v>
      </c>
      <c r="I189" s="36" t="s">
        <v>566</v>
      </c>
      <c r="J189" s="36" t="s">
        <v>268</v>
      </c>
      <c r="K189" s="58">
        <f>MROUND(IF(TRIM(T189)="ATHE", I189*0.75, IF(TRIM(T189)="Focus Awards", I189*0.6, I189*0.7)) + 1, 10) - 1</f>
        <v>889</v>
      </c>
      <c r="L189" s="61">
        <f t="shared" si="20"/>
        <v>0.40189125295508277</v>
      </c>
      <c r="M189" s="65">
        <f t="shared" si="21"/>
        <v>0.29944838455476752</v>
      </c>
      <c r="N189" s="58">
        <f>ROUND(IF(TRIM(T189)="ATHE", VALUE(SUBSTITUTE(SUBSTITUTE(D189,"£",""),",",""))*0.85, VALUE(SUBSTITUTE(SUBSTITUTE(D189,"£",""),",",""))*0.8), 0)</f>
        <v>847</v>
      </c>
      <c r="O189" s="65">
        <f t="shared" si="22"/>
        <v>0.20018885741265346</v>
      </c>
      <c r="P189" s="58">
        <f t="shared" si="23"/>
        <v>99</v>
      </c>
      <c r="Q189" s="66">
        <f t="shared" si="24"/>
        <v>84</v>
      </c>
      <c r="R189" s="58">
        <f t="shared" si="25"/>
        <v>76</v>
      </c>
      <c r="S189" s="67">
        <f t="shared" si="26"/>
        <v>9</v>
      </c>
      <c r="T189" s="36" t="s">
        <v>461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 s="6"/>
    </row>
    <row r="190" spans="1:156" s="1" customFormat="1" ht="29.45">
      <c r="A190" s="36">
        <v>200</v>
      </c>
      <c r="B190" s="37" t="s">
        <v>567</v>
      </c>
      <c r="C190" s="38" t="s">
        <v>568</v>
      </c>
      <c r="D190" s="36" t="s">
        <v>73</v>
      </c>
      <c r="E190" s="43" t="s">
        <v>221</v>
      </c>
      <c r="F190" s="56">
        <f>MROUND(IF(TRIM(T190)="ATHE", D190*0.75, IF(TRIM(T190)="Focus Awards", D190*0.6, D190*0.7)) + 1, 10) - 1</f>
        <v>809</v>
      </c>
      <c r="G190" s="41">
        <f t="shared" si="18"/>
        <v>0.37423846823324625</v>
      </c>
      <c r="H190" s="53">
        <f t="shared" si="19"/>
        <v>0.2959094865100087</v>
      </c>
      <c r="I190" s="36" t="s">
        <v>75</v>
      </c>
      <c r="J190" s="36" t="s">
        <v>76</v>
      </c>
      <c r="K190" s="58">
        <f>MROUND(IF(TRIM(T190)="ATHE", I190*0.75, IF(TRIM(T190)="Focus Awards", I190*0.6, I190*0.7)) + 1, 10) - 1</f>
        <v>969</v>
      </c>
      <c r="L190" s="61">
        <f t="shared" si="20"/>
        <v>0.39883973894126179</v>
      </c>
      <c r="M190" s="65">
        <f t="shared" si="21"/>
        <v>0.29731689630166791</v>
      </c>
      <c r="N190" s="58">
        <f>ROUND(IF(TRIM(T190)="ATHE", VALUE(SUBSTITUTE(SUBSTITUTE(D190,"£",""),",",""))*0.85, VALUE(SUBSTITUTE(SUBSTITUTE(D190,"£",""),",",""))*0.8), 0)</f>
        <v>919</v>
      </c>
      <c r="O190" s="65">
        <f t="shared" si="22"/>
        <v>0.20017406440382945</v>
      </c>
      <c r="P190" s="58">
        <f t="shared" si="23"/>
        <v>99</v>
      </c>
      <c r="Q190" s="66">
        <f t="shared" si="24"/>
        <v>92</v>
      </c>
      <c r="R190" s="58">
        <f t="shared" si="25"/>
        <v>84</v>
      </c>
      <c r="S190" s="67">
        <f t="shared" si="26"/>
        <v>9</v>
      </c>
      <c r="T190" s="36" t="s">
        <v>461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 s="6"/>
    </row>
    <row r="191" spans="1:156" s="1" customFormat="1" ht="29.45">
      <c r="A191" s="42">
        <v>201</v>
      </c>
      <c r="B191" s="37" t="s">
        <v>569</v>
      </c>
      <c r="C191" s="38" t="s">
        <v>570</v>
      </c>
      <c r="D191" s="36" t="s">
        <v>127</v>
      </c>
      <c r="E191" s="43" t="s">
        <v>128</v>
      </c>
      <c r="F191" s="56">
        <f>MROUND(IF(TRIM(T191)="ATHE", D191*0.75, IF(TRIM(T191)="Focus Awards", D191*0.6, D191*0.7)) + 1, 10) - 1</f>
        <v>1469</v>
      </c>
      <c r="G191" s="41">
        <f t="shared" si="18"/>
        <v>0.40019056693663646</v>
      </c>
      <c r="H191" s="53">
        <f t="shared" si="19"/>
        <v>0.30014292520247732</v>
      </c>
      <c r="I191" s="36" t="s">
        <v>129</v>
      </c>
      <c r="J191" s="36" t="s">
        <v>130</v>
      </c>
      <c r="K191" s="58">
        <f>MROUND(IF(TRIM(T191)="ATHE", I191*0.75, IF(TRIM(T191)="Focus Awards", I191*0.6, I191*0.7)) + 1, 10) - 1</f>
        <v>1759</v>
      </c>
      <c r="L191" s="61">
        <f t="shared" si="20"/>
        <v>0.40095275903136163</v>
      </c>
      <c r="M191" s="65">
        <f t="shared" si="21"/>
        <v>0.30170702659785631</v>
      </c>
      <c r="N191" s="58">
        <f>ROUND(IF(TRIM(T191)="ATHE", VALUE(SUBSTITUTE(SUBSTITUTE(D191,"£",""),",",""))*0.85, VALUE(SUBSTITUTE(SUBSTITUTE(D191,"£",""),",",""))*0.8), 0)</f>
        <v>1679</v>
      </c>
      <c r="O191" s="65">
        <f t="shared" si="22"/>
        <v>0.20009528346831829</v>
      </c>
      <c r="P191" s="58">
        <f t="shared" si="23"/>
        <v>99</v>
      </c>
      <c r="Q191" s="66">
        <f t="shared" si="24"/>
        <v>176</v>
      </c>
      <c r="R191" s="58">
        <f t="shared" si="25"/>
        <v>172</v>
      </c>
      <c r="S191" s="67">
        <f t="shared" si="26"/>
        <v>9</v>
      </c>
      <c r="T191" s="36" t="s">
        <v>461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 s="6"/>
    </row>
    <row r="192" spans="1:156" s="1" customFormat="1" ht="29.45">
      <c r="A192" s="36">
        <v>202</v>
      </c>
      <c r="B192" s="37" t="s">
        <v>571</v>
      </c>
      <c r="C192" s="38" t="s">
        <v>572</v>
      </c>
      <c r="D192" s="36" t="s">
        <v>171</v>
      </c>
      <c r="E192" s="43" t="s">
        <v>172</v>
      </c>
      <c r="F192" s="56">
        <f>MROUND(IF(TRIM(T192)="ATHE", D192*0.75, IF(TRIM(T192)="Focus Awards", D192*0.6, D192*0.7)) + 1, 10) - 1</f>
        <v>1159</v>
      </c>
      <c r="G192" s="41">
        <f t="shared" si="18"/>
        <v>0.39783001808318263</v>
      </c>
      <c r="H192" s="53">
        <f t="shared" si="19"/>
        <v>0.30138637733574447</v>
      </c>
      <c r="I192" s="36" t="s">
        <v>173</v>
      </c>
      <c r="J192" s="36" t="s">
        <v>92</v>
      </c>
      <c r="K192" s="58">
        <f>MROUND(IF(TRIM(T192)="ATHE", I192*0.75, IF(TRIM(T192)="Focus Awards", I192*0.6, I192*0.7)) + 1, 10) - 1</f>
        <v>1389</v>
      </c>
      <c r="L192" s="61">
        <f t="shared" si="20"/>
        <v>0.40221216691804929</v>
      </c>
      <c r="M192" s="65">
        <f t="shared" si="21"/>
        <v>0.30165912518853699</v>
      </c>
      <c r="N192" s="58">
        <f>ROUND(IF(TRIM(T192)="ATHE", VALUE(SUBSTITUTE(SUBSTITUTE(D192,"£",""),",",""))*0.85, VALUE(SUBSTITUTE(SUBSTITUTE(D192,"£",""),",",""))*0.8), 0)</f>
        <v>1327</v>
      </c>
      <c r="O192" s="65">
        <f t="shared" si="22"/>
        <v>0.20012055455093425</v>
      </c>
      <c r="P192" s="58">
        <f t="shared" si="23"/>
        <v>99</v>
      </c>
      <c r="Q192" s="66">
        <f t="shared" si="24"/>
        <v>137</v>
      </c>
      <c r="R192" s="58">
        <f t="shared" si="25"/>
        <v>132</v>
      </c>
      <c r="S192" s="67">
        <f t="shared" si="26"/>
        <v>9</v>
      </c>
      <c r="T192" s="36" t="s">
        <v>461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 s="6"/>
    </row>
    <row r="193" spans="1:156" s="1" customFormat="1">
      <c r="A193" s="42">
        <v>203</v>
      </c>
      <c r="B193" s="37" t="s">
        <v>573</v>
      </c>
      <c r="C193" s="38" t="s">
        <v>574</v>
      </c>
      <c r="D193" s="36" t="s">
        <v>339</v>
      </c>
      <c r="E193" s="43" t="s">
        <v>321</v>
      </c>
      <c r="F193" s="56" t="e">
        <f>MROUND(IF(TRIM(T193)="ATHE", D193*0.75, IF(TRIM(T193)="Focus Awards", D193*0.6, D193*0.7)) + 1, 10) - 1</f>
        <v>#VALUE!</v>
      </c>
      <c r="G193" s="41">
        <f t="shared" si="18"/>
        <v>0.36939313984168864</v>
      </c>
      <c r="H193" s="53" t="e">
        <f t="shared" si="19"/>
        <v>#VALUE!</v>
      </c>
      <c r="I193" s="36" t="s">
        <v>269</v>
      </c>
      <c r="J193" s="36" t="s">
        <v>481</v>
      </c>
      <c r="K193" s="58">
        <f>MROUND(IF(TRIM(T193)="ATHE", I193*0.75, IF(TRIM(T193)="Focus Awards", I193*0.6, I193*0.7)) + 1, 10) - 1</f>
        <v>319</v>
      </c>
      <c r="L193" s="61">
        <f t="shared" si="20"/>
        <v>0.39215686274509809</v>
      </c>
      <c r="M193" s="65">
        <f t="shared" si="21"/>
        <v>0.30501089324618735</v>
      </c>
      <c r="N193" s="58">
        <f>ROUND(IF(TRIM(T193)="ATHE", VALUE(SUBSTITUTE(SUBSTITUTE(D193,"£",""),",",""))*0.85, VALUE(SUBSTITUTE(SUBSTITUTE(D193,"£",""),",",""))*0.8), 0)</f>
        <v>303</v>
      </c>
      <c r="O193" s="65">
        <f t="shared" si="22"/>
        <v>0.20052770448548818</v>
      </c>
      <c r="P193" s="58">
        <f t="shared" si="23"/>
        <v>35</v>
      </c>
      <c r="Q193" s="66">
        <f t="shared" si="24"/>
        <v>45</v>
      </c>
      <c r="R193" s="58">
        <f t="shared" si="25"/>
        <v>43</v>
      </c>
      <c r="S193" s="67">
        <f t="shared" si="26"/>
        <v>6</v>
      </c>
      <c r="T193" s="36" t="s">
        <v>575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 s="6"/>
    </row>
    <row r="194" spans="1:156" s="1" customFormat="1" ht="29.45">
      <c r="A194" s="36">
        <v>204</v>
      </c>
      <c r="B194" s="37" t="s">
        <v>576</v>
      </c>
      <c r="C194" s="38" t="s">
        <v>577</v>
      </c>
      <c r="D194" s="36" t="s">
        <v>388</v>
      </c>
      <c r="E194" s="43" t="s">
        <v>317</v>
      </c>
      <c r="F194" s="56" t="e">
        <f>MROUND(IF(TRIM(T194)="ATHE", D194*0.75, IF(TRIM(T194)="Focus Awards", D194*0.6, D194*0.7)) + 1, 10) - 1</f>
        <v>#VALUE!</v>
      </c>
      <c r="G194" s="41">
        <f t="shared" si="18"/>
        <v>0.37369207772795221</v>
      </c>
      <c r="H194" s="53" t="e">
        <f t="shared" si="19"/>
        <v>#VALUE!</v>
      </c>
      <c r="I194" s="36" t="s">
        <v>374</v>
      </c>
      <c r="J194" s="36" t="s">
        <v>322</v>
      </c>
      <c r="K194" s="58">
        <f>MROUND(IF(TRIM(T194)="ATHE", I194*0.75, IF(TRIM(T194)="Focus Awards", I194*0.6, I194*0.7)) + 1, 10) - 1</f>
        <v>559</v>
      </c>
      <c r="L194" s="61">
        <f t="shared" si="20"/>
        <v>0.40050062578222778</v>
      </c>
      <c r="M194" s="65">
        <f t="shared" si="21"/>
        <v>0.30037546933667081</v>
      </c>
      <c r="N194" s="58">
        <f>ROUND(IF(TRIM(T194)="ATHE", VALUE(SUBSTITUTE(SUBSTITUTE(D194,"£",""),",",""))*0.85, VALUE(SUBSTITUTE(SUBSTITUTE(D194,"£",""),",",""))*0.8), 0)</f>
        <v>535</v>
      </c>
      <c r="O194" s="65">
        <f t="shared" si="22"/>
        <v>0.20029895366218231</v>
      </c>
      <c r="P194" s="58">
        <f t="shared" si="23"/>
        <v>99</v>
      </c>
      <c r="Q194" s="66">
        <f t="shared" si="24"/>
        <v>49</v>
      </c>
      <c r="R194" s="58">
        <f t="shared" si="25"/>
        <v>44</v>
      </c>
      <c r="S194" s="67">
        <f t="shared" si="26"/>
        <v>9</v>
      </c>
      <c r="T194" s="36" t="s">
        <v>575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 s="6"/>
    </row>
    <row r="195" spans="1:156" s="1" customFormat="1" ht="29.45">
      <c r="A195" s="42">
        <v>205</v>
      </c>
      <c r="B195" s="37" t="s">
        <v>578</v>
      </c>
      <c r="C195" s="38" t="s">
        <v>579</v>
      </c>
      <c r="D195" s="36" t="s">
        <v>388</v>
      </c>
      <c r="E195" s="43" t="s">
        <v>317</v>
      </c>
      <c r="F195" s="56">
        <f>MROUND(IF(TRIM(T195)="ATHE", D195*0.75, IF(TRIM(T195)="Focus Awards", D195*0.6, D195*0.7)) + 1, 10) - 1</f>
        <v>469</v>
      </c>
      <c r="G195" s="41">
        <f t="shared" ref="G195:G258" si="27">1-E195/D195</f>
        <v>0.37369207772795221</v>
      </c>
      <c r="H195" s="53">
        <f t="shared" ref="H195:H258" si="28">1-F195/D195</f>
        <v>0.29895366218236175</v>
      </c>
      <c r="I195" s="36" t="s">
        <v>374</v>
      </c>
      <c r="J195" s="36" t="s">
        <v>322</v>
      </c>
      <c r="K195" s="58">
        <f>MROUND(IF(TRIM(T195)="ATHE", I195*0.75, IF(TRIM(T195)="Focus Awards", I195*0.6, I195*0.7)) + 1, 10) - 1</f>
        <v>559</v>
      </c>
      <c r="L195" s="61">
        <f t="shared" ref="L195:L200" si="29">1-J195/I195</f>
        <v>0.40050062578222778</v>
      </c>
      <c r="M195" s="65">
        <f t="shared" ref="M195:M200" si="30">1-K195/I195</f>
        <v>0.30037546933667081</v>
      </c>
      <c r="N195" s="58">
        <f>ROUND(IF(TRIM(T195)="ATHE", VALUE(SUBSTITUTE(SUBSTITUTE(D195,"£",""),",",""))*0.85, VALUE(SUBSTITUTE(SUBSTITUTE(D195,"£",""),",",""))*0.8), 0)</f>
        <v>535</v>
      </c>
      <c r="O195" s="65">
        <f t="shared" ref="O195:O200" si="31">1-N195/D195</f>
        <v>0.20029895366218231</v>
      </c>
      <c r="P195" s="58">
        <f t="shared" ref="P195:P200" si="32">IF(K195&lt;500, 35, 99)</f>
        <v>99</v>
      </c>
      <c r="Q195" s="66">
        <f t="shared" ref="Q195:Q200" si="33">ROUNDUP((N195-P195)/S195, 0)</f>
        <v>49</v>
      </c>
      <c r="R195" s="58">
        <f t="shared" ref="R195:R200" si="34">(N195-P195) - (Q195 * (S195-1))</f>
        <v>44</v>
      </c>
      <c r="S195" s="67">
        <f t="shared" ref="S195:S200" si="35">IF(K195&lt;500, 6, 9)</f>
        <v>9</v>
      </c>
      <c r="T195" s="36" t="s">
        <v>575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 s="6"/>
    </row>
    <row r="196" spans="1:156" s="1" customFormat="1" ht="29.45">
      <c r="A196" s="36">
        <v>206</v>
      </c>
      <c r="B196" s="37" t="s">
        <v>580</v>
      </c>
      <c r="C196" s="38" t="s">
        <v>581</v>
      </c>
      <c r="D196" s="36" t="s">
        <v>100</v>
      </c>
      <c r="E196" s="43" t="s">
        <v>50</v>
      </c>
      <c r="F196" s="56">
        <f>MROUND(IF(TRIM(T196)="ATHE", D196*0.75, IF(TRIM(T196)="Focus Awards", D196*0.6, D196*0.7)) + 1, 10) - 1</f>
        <v>669</v>
      </c>
      <c r="G196" s="41">
        <f t="shared" si="27"/>
        <v>0.37539103232533888</v>
      </c>
      <c r="H196" s="53">
        <f t="shared" si="28"/>
        <v>0.30239833159541185</v>
      </c>
      <c r="I196" s="36" t="s">
        <v>102</v>
      </c>
      <c r="J196" s="36" t="s">
        <v>74</v>
      </c>
      <c r="K196" s="58">
        <f>MROUND(IF(TRIM(T196)="ATHE", I196*0.75, IF(TRIM(T196)="Focus Awards", I196*0.6, I196*0.7)) + 1, 10) - 1</f>
        <v>809</v>
      </c>
      <c r="L196" s="61">
        <f t="shared" si="29"/>
        <v>0.4003481288076588</v>
      </c>
      <c r="M196" s="65">
        <f t="shared" si="30"/>
        <v>0.2959094865100087</v>
      </c>
      <c r="N196" s="58">
        <f>ROUND(IF(TRIM(T196)="ATHE", VALUE(SUBSTITUTE(SUBSTITUTE(D196,"£",""),",",""))*0.85, VALUE(SUBSTITUTE(SUBSTITUTE(D196,"£",""),",",""))*0.8), 0)</f>
        <v>767</v>
      </c>
      <c r="O196" s="65">
        <f t="shared" si="31"/>
        <v>0.20020855057351405</v>
      </c>
      <c r="P196" s="58">
        <f t="shared" si="32"/>
        <v>99</v>
      </c>
      <c r="Q196" s="66">
        <f t="shared" si="33"/>
        <v>75</v>
      </c>
      <c r="R196" s="58">
        <f t="shared" si="34"/>
        <v>68</v>
      </c>
      <c r="S196" s="67">
        <f t="shared" si="35"/>
        <v>9</v>
      </c>
      <c r="T196" s="36" t="s">
        <v>575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 s="6"/>
    </row>
    <row r="197" spans="1:156" s="1" customFormat="1" ht="29.45">
      <c r="A197" s="42">
        <v>207</v>
      </c>
      <c r="B197" s="37" t="s">
        <v>582</v>
      </c>
      <c r="C197" s="38" t="s">
        <v>583</v>
      </c>
      <c r="D197" s="36" t="s">
        <v>100</v>
      </c>
      <c r="E197" s="43" t="s">
        <v>50</v>
      </c>
      <c r="F197" s="56">
        <f>MROUND(IF(TRIM(T197)="ATHE", D197*0.75, IF(TRIM(T197)="Focus Awards", D197*0.6, D197*0.7)) + 1, 10) - 1</f>
        <v>669</v>
      </c>
      <c r="G197" s="41">
        <f t="shared" si="27"/>
        <v>0.37539103232533888</v>
      </c>
      <c r="H197" s="53">
        <f t="shared" si="28"/>
        <v>0.30239833159541185</v>
      </c>
      <c r="I197" s="36" t="s">
        <v>102</v>
      </c>
      <c r="J197" s="36" t="s">
        <v>74</v>
      </c>
      <c r="K197" s="58">
        <f>MROUND(IF(TRIM(T197)="ATHE", I197*0.75, IF(TRIM(T197)="Focus Awards", I197*0.6, I197*0.7)) + 1, 10) - 1</f>
        <v>809</v>
      </c>
      <c r="L197" s="61">
        <f t="shared" si="29"/>
        <v>0.4003481288076588</v>
      </c>
      <c r="M197" s="65">
        <f t="shared" si="30"/>
        <v>0.2959094865100087</v>
      </c>
      <c r="N197" s="58">
        <f>ROUND(IF(TRIM(T197)="ATHE", VALUE(SUBSTITUTE(SUBSTITUTE(D197,"£",""),",",""))*0.85, VALUE(SUBSTITUTE(SUBSTITUTE(D197,"£",""),",",""))*0.8), 0)</f>
        <v>767</v>
      </c>
      <c r="O197" s="65">
        <f t="shared" si="31"/>
        <v>0.20020855057351405</v>
      </c>
      <c r="P197" s="58">
        <f t="shared" si="32"/>
        <v>99</v>
      </c>
      <c r="Q197" s="66">
        <f t="shared" si="33"/>
        <v>75</v>
      </c>
      <c r="R197" s="58">
        <f t="shared" si="34"/>
        <v>68</v>
      </c>
      <c r="S197" s="67">
        <f t="shared" si="35"/>
        <v>9</v>
      </c>
      <c r="T197" s="36" t="s">
        <v>575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 s="6"/>
    </row>
    <row r="198" spans="1:156" s="1" customFormat="1" ht="29.45">
      <c r="A198" s="36">
        <v>208</v>
      </c>
      <c r="B198" s="37" t="s">
        <v>584</v>
      </c>
      <c r="C198" s="38" t="s">
        <v>585</v>
      </c>
      <c r="D198" s="36" t="s">
        <v>221</v>
      </c>
      <c r="E198" s="43" t="s">
        <v>41</v>
      </c>
      <c r="F198" s="56">
        <f>MROUND(IF(TRIM(T198)="ATHE", D198*0.75, IF(TRIM(T198)="Focus Awards", D198*0.6, D198*0.7)) + 1, 10) - 1</f>
        <v>499</v>
      </c>
      <c r="G198" s="41">
        <f t="shared" si="27"/>
        <v>0.37552155771905427</v>
      </c>
      <c r="H198" s="53">
        <f t="shared" si="28"/>
        <v>0.305980528511822</v>
      </c>
      <c r="I198" s="36" t="s">
        <v>429</v>
      </c>
      <c r="J198" s="36" t="s">
        <v>499</v>
      </c>
      <c r="K198" s="58">
        <f>MROUND(IF(TRIM(T198)="ATHE", I198*0.75, IF(TRIM(T198)="Focus Awards", I198*0.6, I198*0.7)) + 1, 10) - 1</f>
        <v>599</v>
      </c>
      <c r="L198" s="61">
        <f t="shared" si="29"/>
        <v>0.39580908032596041</v>
      </c>
      <c r="M198" s="65">
        <f t="shared" si="30"/>
        <v>0.30267753201396974</v>
      </c>
      <c r="N198" s="58">
        <f>ROUND(IF(TRIM(T198)="ATHE", VALUE(SUBSTITUTE(SUBSTITUTE(D198,"£",""),",",""))*0.85, VALUE(SUBSTITUTE(SUBSTITUTE(D198,"£",""),",",""))*0.8), 0)</f>
        <v>575</v>
      </c>
      <c r="O198" s="65">
        <f t="shared" si="31"/>
        <v>0.20027816411682897</v>
      </c>
      <c r="P198" s="58">
        <f t="shared" si="32"/>
        <v>99</v>
      </c>
      <c r="Q198" s="66">
        <f t="shared" si="33"/>
        <v>53</v>
      </c>
      <c r="R198" s="58">
        <f t="shared" si="34"/>
        <v>52</v>
      </c>
      <c r="S198" s="67">
        <f t="shared" si="35"/>
        <v>9</v>
      </c>
      <c r="T198" s="36" t="s">
        <v>575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 s="6"/>
    </row>
    <row r="199" spans="1:156" s="1" customFormat="1" ht="29.45">
      <c r="A199" s="42">
        <v>209</v>
      </c>
      <c r="B199" s="37" t="s">
        <v>586</v>
      </c>
      <c r="C199" s="38" t="s">
        <v>587</v>
      </c>
      <c r="D199" s="36" t="s">
        <v>588</v>
      </c>
      <c r="E199" s="43" t="s">
        <v>367</v>
      </c>
      <c r="F199" s="56">
        <f>MROUND(IF(TRIM(T199)="ATHE", D199*0.75, IF(TRIM(T199)="Focus Awards", D199*0.6, D199*0.7)) + 1, 10) - 1</f>
        <v>989</v>
      </c>
      <c r="G199" s="41">
        <f t="shared" si="27"/>
        <v>0.37615330021291693</v>
      </c>
      <c r="H199" s="53">
        <f t="shared" si="28"/>
        <v>0.29808374733853793</v>
      </c>
      <c r="I199" s="36" t="s">
        <v>589</v>
      </c>
      <c r="J199" s="36" t="s">
        <v>468</v>
      </c>
      <c r="K199" s="58">
        <f>MROUND(IF(TRIM(T199)="ATHE", I199*0.75, IF(TRIM(T199)="Focus Awards", I199*0.6, I199*0.7)) + 1, 10) - 1</f>
        <v>1179</v>
      </c>
      <c r="L199" s="61">
        <f t="shared" si="29"/>
        <v>0.40260509177027826</v>
      </c>
      <c r="M199" s="65">
        <f t="shared" si="30"/>
        <v>0.30195381882770866</v>
      </c>
      <c r="N199" s="58">
        <f>ROUND(IF(TRIM(T199)="ATHE", VALUE(SUBSTITUTE(SUBSTITUTE(D199,"£",""),",",""))*0.85, VALUE(SUBSTITUTE(SUBSTITUTE(D199,"£",""),",",""))*0.8), 0)</f>
        <v>1127</v>
      </c>
      <c r="O199" s="65">
        <f t="shared" si="31"/>
        <v>0.20014194464158974</v>
      </c>
      <c r="P199" s="58">
        <f t="shared" si="32"/>
        <v>99</v>
      </c>
      <c r="Q199" s="66">
        <f t="shared" si="33"/>
        <v>115</v>
      </c>
      <c r="R199" s="58">
        <f t="shared" si="34"/>
        <v>108</v>
      </c>
      <c r="S199" s="67">
        <f t="shared" si="35"/>
        <v>9</v>
      </c>
      <c r="T199" s="36" t="s">
        <v>575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 s="6"/>
    </row>
    <row r="200" spans="1:156" s="1" customFormat="1" ht="44.25">
      <c r="A200" s="36">
        <v>210</v>
      </c>
      <c r="B200" s="37" t="s">
        <v>590</v>
      </c>
      <c r="C200" s="38" t="s">
        <v>591</v>
      </c>
      <c r="D200" s="36" t="s">
        <v>61</v>
      </c>
      <c r="E200" s="43" t="s">
        <v>90</v>
      </c>
      <c r="F200" s="56">
        <f>MROUND(IF(TRIM(T200)="ATHE", D200*0.75, IF(TRIM(T200)="Focus Awards", D200*0.6, D200*0.7)) + 1, 10) - 1</f>
        <v>1109</v>
      </c>
      <c r="G200" s="41">
        <f t="shared" si="27"/>
        <v>0.37365421152628242</v>
      </c>
      <c r="H200" s="53">
        <f t="shared" si="28"/>
        <v>0.29765674477517412</v>
      </c>
      <c r="I200" s="36" t="s">
        <v>63</v>
      </c>
      <c r="J200" s="36" t="s">
        <v>64</v>
      </c>
      <c r="K200" s="58">
        <f>MROUND(IF(TRIM(T200)="ATHE", I200*0.75, IF(TRIM(T200)="Focus Awards", I200*0.6, I200*0.7)) + 1, 10) - 1</f>
        <v>1329</v>
      </c>
      <c r="L200" s="61">
        <f t="shared" si="29"/>
        <v>0.40021063717746186</v>
      </c>
      <c r="M200" s="65">
        <f t="shared" si="30"/>
        <v>0.30015797788309639</v>
      </c>
      <c r="N200" s="58">
        <f>ROUND(IF(TRIM(T200)="ATHE", VALUE(SUBSTITUTE(SUBSTITUTE(D200,"£",""),",",""))*0.85, VALUE(SUBSTITUTE(SUBSTITUTE(D200,"£",""),",",""))*0.8), 0)</f>
        <v>1263</v>
      </c>
      <c r="O200" s="65">
        <f t="shared" si="31"/>
        <v>0.20012666244458521</v>
      </c>
      <c r="P200" s="58">
        <f t="shared" si="32"/>
        <v>99</v>
      </c>
      <c r="Q200" s="66">
        <f t="shared" si="33"/>
        <v>130</v>
      </c>
      <c r="R200" s="58">
        <f t="shared" si="34"/>
        <v>124</v>
      </c>
      <c r="S200" s="67">
        <f t="shared" si="35"/>
        <v>9</v>
      </c>
      <c r="T200" s="36" t="s">
        <v>575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 s="6"/>
    </row>
    <row r="201" spans="1:156" s="1" customFormat="1" ht="29.45">
      <c r="A201" s="42">
        <v>211</v>
      </c>
      <c r="B201" s="44" t="s">
        <v>592</v>
      </c>
      <c r="C201" s="45" t="s">
        <v>593</v>
      </c>
      <c r="D201" s="39" t="s">
        <v>594</v>
      </c>
      <c r="E201" s="46">
        <v>89</v>
      </c>
      <c r="F201" s="56">
        <f>MROUND(IF(TRIM(T201)="ATHE", D201*0.75, IF(TRIM(T201)="Focus Awards", D201*0.6, D201*0.7)) + 1, 10) - 1</f>
        <v>99</v>
      </c>
      <c r="G201" s="41">
        <f t="shared" si="27"/>
        <v>0.35971223021582732</v>
      </c>
      <c r="H201" s="53">
        <f t="shared" si="28"/>
        <v>0.28776978417266186</v>
      </c>
      <c r="I201" s="42" t="s">
        <v>595</v>
      </c>
      <c r="J201" s="42" t="s">
        <v>595</v>
      </c>
      <c r="K201" s="59" t="s">
        <v>595</v>
      </c>
      <c r="L201" s="62" t="s">
        <v>595</v>
      </c>
      <c r="M201" s="65" t="s">
        <v>595</v>
      </c>
      <c r="N201" s="65" t="s">
        <v>595</v>
      </c>
      <c r="O201" s="65" t="s">
        <v>595</v>
      </c>
      <c r="P201" s="65" t="s">
        <v>595</v>
      </c>
      <c r="Q201" s="65" t="s">
        <v>595</v>
      </c>
      <c r="R201" s="65" t="s">
        <v>595</v>
      </c>
      <c r="S201" s="65" t="s">
        <v>595</v>
      </c>
      <c r="T201" s="42" t="s">
        <v>596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 s="6"/>
    </row>
    <row r="202" spans="1:156" s="1" customFormat="1" ht="29.45">
      <c r="A202" s="36">
        <v>212</v>
      </c>
      <c r="B202" s="37" t="s">
        <v>597</v>
      </c>
      <c r="C202" s="45" t="s">
        <v>598</v>
      </c>
      <c r="D202" s="39" t="s">
        <v>594</v>
      </c>
      <c r="E202" s="46">
        <v>89</v>
      </c>
      <c r="F202" s="56">
        <f>MROUND(IF(TRIM(T202)="ATHE", D202*0.75, IF(TRIM(T202)="Focus Awards", D202*0.6, D202*0.7)) + 1, 10) - 1</f>
        <v>99</v>
      </c>
      <c r="G202" s="41">
        <f t="shared" si="27"/>
        <v>0.35971223021582732</v>
      </c>
      <c r="H202" s="53">
        <f t="shared" si="28"/>
        <v>0.28776978417266186</v>
      </c>
      <c r="I202" s="42" t="s">
        <v>595</v>
      </c>
      <c r="J202" s="42" t="s">
        <v>595</v>
      </c>
      <c r="K202" s="59" t="s">
        <v>595</v>
      </c>
      <c r="L202" s="62" t="s">
        <v>595</v>
      </c>
      <c r="M202" s="65" t="s">
        <v>595</v>
      </c>
      <c r="N202" s="65" t="s">
        <v>595</v>
      </c>
      <c r="O202" s="65" t="s">
        <v>595</v>
      </c>
      <c r="P202" s="65" t="s">
        <v>595</v>
      </c>
      <c r="Q202" s="65" t="s">
        <v>595</v>
      </c>
      <c r="R202" s="65" t="s">
        <v>595</v>
      </c>
      <c r="S202" s="65" t="s">
        <v>595</v>
      </c>
      <c r="T202" s="36" t="s">
        <v>596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 s="6"/>
    </row>
    <row r="203" spans="1:156" s="2" customFormat="1">
      <c r="A203" s="42">
        <v>213</v>
      </c>
      <c r="B203" s="37" t="s">
        <v>599</v>
      </c>
      <c r="C203" s="45" t="s">
        <v>600</v>
      </c>
      <c r="D203" s="47">
        <v>139</v>
      </c>
      <c r="E203" s="48">
        <v>89</v>
      </c>
      <c r="F203" s="56">
        <f>MROUND(IF(TRIM(T203)="ATHE", D203*0.75, IF(TRIM(T203)="Focus Awards", D203*0.6, D203*0.7)) + 1, 10) - 1</f>
        <v>99</v>
      </c>
      <c r="G203" s="41">
        <f>1-E203/D203</f>
        <v>0.35971223021582732</v>
      </c>
      <c r="H203" s="53">
        <f t="shared" si="28"/>
        <v>0.28776978417266186</v>
      </c>
      <c r="I203" s="42" t="s">
        <v>595</v>
      </c>
      <c r="J203" s="42" t="s">
        <v>595</v>
      </c>
      <c r="K203" s="59" t="s">
        <v>595</v>
      </c>
      <c r="L203" s="62" t="s">
        <v>595</v>
      </c>
      <c r="M203" s="65" t="s">
        <v>595</v>
      </c>
      <c r="N203" s="65" t="s">
        <v>595</v>
      </c>
      <c r="O203" s="65" t="s">
        <v>595</v>
      </c>
      <c r="P203" s="65" t="s">
        <v>595</v>
      </c>
      <c r="Q203" s="65" t="s">
        <v>595</v>
      </c>
      <c r="R203" s="65" t="s">
        <v>595</v>
      </c>
      <c r="S203" s="65" t="s">
        <v>595</v>
      </c>
      <c r="T203" s="36" t="s">
        <v>596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 s="9"/>
    </row>
    <row r="204" spans="1:156" s="1" customFormat="1">
      <c r="A204" s="36">
        <v>214</v>
      </c>
      <c r="B204" s="37" t="s">
        <v>601</v>
      </c>
      <c r="C204" s="38" t="s">
        <v>602</v>
      </c>
      <c r="D204" s="39" t="s">
        <v>594</v>
      </c>
      <c r="E204" s="46">
        <v>89</v>
      </c>
      <c r="F204" s="56">
        <f>MROUND(IF(TRIM(T204)="ATHE", D204*0.75, IF(TRIM(T204)="Focus Awards", D204*0.6, D204*0.7)) + 1, 10) - 1</f>
        <v>99</v>
      </c>
      <c r="G204" s="41">
        <f t="shared" si="27"/>
        <v>0.35971223021582732</v>
      </c>
      <c r="H204" s="53">
        <f t="shared" si="28"/>
        <v>0.28776978417266186</v>
      </c>
      <c r="I204" s="42" t="s">
        <v>595</v>
      </c>
      <c r="J204" s="42" t="s">
        <v>595</v>
      </c>
      <c r="K204" s="59" t="s">
        <v>595</v>
      </c>
      <c r="L204" s="62" t="s">
        <v>595</v>
      </c>
      <c r="M204" s="65" t="s">
        <v>595</v>
      </c>
      <c r="N204" s="65" t="s">
        <v>595</v>
      </c>
      <c r="O204" s="65" t="s">
        <v>595</v>
      </c>
      <c r="P204" s="65" t="s">
        <v>595</v>
      </c>
      <c r="Q204" s="65" t="s">
        <v>595</v>
      </c>
      <c r="R204" s="65" t="s">
        <v>595</v>
      </c>
      <c r="S204" s="65" t="s">
        <v>595</v>
      </c>
      <c r="T204" s="36" t="s">
        <v>596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 s="6"/>
    </row>
    <row r="205" spans="1:156" s="1" customFormat="1" ht="18" customHeight="1">
      <c r="A205" s="42">
        <v>215</v>
      </c>
      <c r="B205" s="37" t="s">
        <v>603</v>
      </c>
      <c r="C205" s="38" t="s">
        <v>604</v>
      </c>
      <c r="D205" s="39">
        <v>139</v>
      </c>
      <c r="E205" s="46">
        <v>89</v>
      </c>
      <c r="F205" s="56">
        <f>MROUND(IF(TRIM(T205)="ATHE", D205*0.75, IF(TRIM(T205)="Focus Awards", D205*0.6, D205*0.7)) + 1, 10) - 1</f>
        <v>99</v>
      </c>
      <c r="G205" s="41">
        <f>1-E205/D205</f>
        <v>0.35971223021582732</v>
      </c>
      <c r="H205" s="53">
        <f t="shared" si="28"/>
        <v>0.28776978417266186</v>
      </c>
      <c r="I205" s="42" t="s">
        <v>595</v>
      </c>
      <c r="J205" s="42" t="s">
        <v>595</v>
      </c>
      <c r="K205" s="59" t="s">
        <v>595</v>
      </c>
      <c r="L205" s="62" t="s">
        <v>595</v>
      </c>
      <c r="M205" s="65" t="s">
        <v>595</v>
      </c>
      <c r="N205" s="65" t="s">
        <v>595</v>
      </c>
      <c r="O205" s="65" t="s">
        <v>595</v>
      </c>
      <c r="P205" s="65" t="s">
        <v>595</v>
      </c>
      <c r="Q205" s="65" t="s">
        <v>595</v>
      </c>
      <c r="R205" s="65" t="s">
        <v>595</v>
      </c>
      <c r="S205" s="65" t="s">
        <v>595</v>
      </c>
      <c r="T205" s="36" t="s">
        <v>596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 s="6"/>
    </row>
    <row r="206" spans="1:156" s="1" customFormat="1">
      <c r="A206" s="36">
        <v>216</v>
      </c>
      <c r="B206" s="37" t="s">
        <v>605</v>
      </c>
      <c r="C206" s="38" t="s">
        <v>606</v>
      </c>
      <c r="D206" s="39" t="s">
        <v>594</v>
      </c>
      <c r="E206" s="46">
        <v>89</v>
      </c>
      <c r="F206" s="56">
        <f>MROUND(IF(TRIM(T206)="ATHE", D206*0.75, IF(TRIM(T206)="Focus Awards", D206*0.6, D206*0.7)) + 1, 10) - 1</f>
        <v>99</v>
      </c>
      <c r="G206" s="41">
        <f t="shared" si="27"/>
        <v>0.35971223021582732</v>
      </c>
      <c r="H206" s="53">
        <f t="shared" si="28"/>
        <v>0.28776978417266186</v>
      </c>
      <c r="I206" s="42" t="s">
        <v>595</v>
      </c>
      <c r="J206" s="42" t="s">
        <v>595</v>
      </c>
      <c r="K206" s="59" t="s">
        <v>595</v>
      </c>
      <c r="L206" s="62" t="s">
        <v>595</v>
      </c>
      <c r="M206" s="65" t="s">
        <v>595</v>
      </c>
      <c r="N206" s="65" t="s">
        <v>595</v>
      </c>
      <c r="O206" s="65" t="s">
        <v>595</v>
      </c>
      <c r="P206" s="65" t="s">
        <v>595</v>
      </c>
      <c r="Q206" s="65" t="s">
        <v>595</v>
      </c>
      <c r="R206" s="65" t="s">
        <v>595</v>
      </c>
      <c r="S206" s="65" t="s">
        <v>595</v>
      </c>
      <c r="T206" s="36" t="s">
        <v>596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 s="6"/>
    </row>
    <row r="207" spans="1:156" s="1" customFormat="1">
      <c r="A207" s="42">
        <v>217</v>
      </c>
      <c r="B207" s="37" t="s">
        <v>607</v>
      </c>
      <c r="C207" s="38" t="s">
        <v>608</v>
      </c>
      <c r="D207" s="39" t="s">
        <v>594</v>
      </c>
      <c r="E207" s="46">
        <v>89</v>
      </c>
      <c r="F207" s="56">
        <f>MROUND(IF(TRIM(T207)="ATHE", D207*0.75, IF(TRIM(T207)="Focus Awards", D207*0.6, D207*0.7)) + 1, 10) - 1</f>
        <v>99</v>
      </c>
      <c r="G207" s="41">
        <f t="shared" si="27"/>
        <v>0.35971223021582732</v>
      </c>
      <c r="H207" s="53">
        <f t="shared" si="28"/>
        <v>0.28776978417266186</v>
      </c>
      <c r="I207" s="42" t="s">
        <v>595</v>
      </c>
      <c r="J207" s="42" t="s">
        <v>595</v>
      </c>
      <c r="K207" s="59" t="s">
        <v>595</v>
      </c>
      <c r="L207" s="62" t="s">
        <v>595</v>
      </c>
      <c r="M207" s="65" t="s">
        <v>595</v>
      </c>
      <c r="N207" s="65" t="s">
        <v>595</v>
      </c>
      <c r="O207" s="65" t="s">
        <v>595</v>
      </c>
      <c r="P207" s="65" t="s">
        <v>595</v>
      </c>
      <c r="Q207" s="65" t="s">
        <v>595</v>
      </c>
      <c r="R207" s="65" t="s">
        <v>595</v>
      </c>
      <c r="S207" s="65" t="s">
        <v>595</v>
      </c>
      <c r="T207" s="36" t="s">
        <v>596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 s="6"/>
    </row>
    <row r="208" spans="1:156" s="1" customFormat="1" ht="29.45">
      <c r="A208" s="36">
        <v>218</v>
      </c>
      <c r="B208" s="37" t="s">
        <v>609</v>
      </c>
      <c r="C208" s="38" t="s">
        <v>610</v>
      </c>
      <c r="D208" s="39" t="s">
        <v>594</v>
      </c>
      <c r="E208" s="46">
        <v>89</v>
      </c>
      <c r="F208" s="56">
        <f>MROUND(IF(TRIM(T208)="ATHE", D208*0.75, IF(TRIM(T208)="Focus Awards", D208*0.6, D208*0.7)) + 1, 10) - 1</f>
        <v>99</v>
      </c>
      <c r="G208" s="41">
        <f t="shared" si="27"/>
        <v>0.35971223021582732</v>
      </c>
      <c r="H208" s="53">
        <f t="shared" si="28"/>
        <v>0.28776978417266186</v>
      </c>
      <c r="I208" s="42" t="s">
        <v>595</v>
      </c>
      <c r="J208" s="42" t="s">
        <v>595</v>
      </c>
      <c r="K208" s="59" t="s">
        <v>595</v>
      </c>
      <c r="L208" s="62" t="s">
        <v>595</v>
      </c>
      <c r="M208" s="65" t="s">
        <v>595</v>
      </c>
      <c r="N208" s="65" t="s">
        <v>595</v>
      </c>
      <c r="O208" s="65" t="s">
        <v>595</v>
      </c>
      <c r="P208" s="65" t="s">
        <v>595</v>
      </c>
      <c r="Q208" s="65" t="s">
        <v>595</v>
      </c>
      <c r="R208" s="65" t="s">
        <v>595</v>
      </c>
      <c r="S208" s="65" t="s">
        <v>595</v>
      </c>
      <c r="T208" s="36" t="s">
        <v>596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 s="6"/>
    </row>
    <row r="209" spans="1:156" s="1" customFormat="1" ht="29.45">
      <c r="A209" s="42">
        <v>219</v>
      </c>
      <c r="B209" s="37" t="s">
        <v>611</v>
      </c>
      <c r="C209" s="38" t="s">
        <v>612</v>
      </c>
      <c r="D209" s="39" t="s">
        <v>338</v>
      </c>
      <c r="E209" s="46">
        <v>119</v>
      </c>
      <c r="F209" s="56">
        <f>MROUND(IF(TRIM(T209)="ATHE", D209*0.75, IF(TRIM(T209)="Focus Awards", D209*0.6, D209*0.7)) + 1, 10) - 1</f>
        <v>129</v>
      </c>
      <c r="G209" s="41">
        <f t="shared" si="27"/>
        <v>0.37037037037037035</v>
      </c>
      <c r="H209" s="53">
        <f t="shared" si="28"/>
        <v>0.31746031746031744</v>
      </c>
      <c r="I209" s="42" t="s">
        <v>595</v>
      </c>
      <c r="J209" s="42" t="s">
        <v>595</v>
      </c>
      <c r="K209" s="59" t="s">
        <v>595</v>
      </c>
      <c r="L209" s="62" t="s">
        <v>595</v>
      </c>
      <c r="M209" s="65" t="s">
        <v>595</v>
      </c>
      <c r="N209" s="65" t="s">
        <v>595</v>
      </c>
      <c r="O209" s="65" t="s">
        <v>595</v>
      </c>
      <c r="P209" s="65" t="s">
        <v>595</v>
      </c>
      <c r="Q209" s="65" t="s">
        <v>595</v>
      </c>
      <c r="R209" s="65" t="s">
        <v>595</v>
      </c>
      <c r="S209" s="65" t="s">
        <v>595</v>
      </c>
      <c r="T209" s="36" t="s">
        <v>596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 s="6"/>
    </row>
    <row r="210" spans="1:156" s="1" customFormat="1" ht="29.45">
      <c r="A210" s="36">
        <v>220</v>
      </c>
      <c r="B210" s="37" t="s">
        <v>613</v>
      </c>
      <c r="C210" s="38" t="s">
        <v>614</v>
      </c>
      <c r="D210" s="39" t="s">
        <v>321</v>
      </c>
      <c r="E210" s="46">
        <v>149</v>
      </c>
      <c r="F210" s="56">
        <f>MROUND(IF(TRIM(T210)="ATHE", D210*0.75, IF(TRIM(T210)="Focus Awards", D210*0.6, D210*0.7)) + 1, 10) - 1</f>
        <v>169</v>
      </c>
      <c r="G210" s="41">
        <f t="shared" si="27"/>
        <v>0.37656903765690375</v>
      </c>
      <c r="H210" s="53">
        <f t="shared" si="28"/>
        <v>0.29288702928870292</v>
      </c>
      <c r="I210" s="42" t="s">
        <v>595</v>
      </c>
      <c r="J210" s="42" t="s">
        <v>595</v>
      </c>
      <c r="K210" s="59" t="s">
        <v>595</v>
      </c>
      <c r="L210" s="62" t="s">
        <v>595</v>
      </c>
      <c r="M210" s="65" t="s">
        <v>595</v>
      </c>
      <c r="N210" s="65" t="s">
        <v>595</v>
      </c>
      <c r="O210" s="65" t="s">
        <v>595</v>
      </c>
      <c r="P210" s="65" t="s">
        <v>595</v>
      </c>
      <c r="Q210" s="65" t="s">
        <v>595</v>
      </c>
      <c r="R210" s="65" t="s">
        <v>595</v>
      </c>
      <c r="S210" s="65" t="s">
        <v>595</v>
      </c>
      <c r="T210" s="36" t="s">
        <v>596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 s="6"/>
    </row>
    <row r="211" spans="1:156" s="1" customFormat="1">
      <c r="A211" s="42">
        <v>221</v>
      </c>
      <c r="B211" s="37" t="s">
        <v>615</v>
      </c>
      <c r="C211" s="38" t="s">
        <v>616</v>
      </c>
      <c r="D211" s="39" t="s">
        <v>338</v>
      </c>
      <c r="E211" s="46">
        <v>119</v>
      </c>
      <c r="F211" s="56">
        <f>MROUND(IF(TRIM(T211)="ATHE", D211*0.75, IF(TRIM(T211)="Focus Awards", D211*0.6, D211*0.7)) + 1, 10) - 1</f>
        <v>129</v>
      </c>
      <c r="G211" s="41">
        <f t="shared" si="27"/>
        <v>0.37037037037037035</v>
      </c>
      <c r="H211" s="53">
        <f t="shared" si="28"/>
        <v>0.31746031746031744</v>
      </c>
      <c r="I211" s="42" t="s">
        <v>595</v>
      </c>
      <c r="J211" s="42" t="s">
        <v>595</v>
      </c>
      <c r="K211" s="59" t="s">
        <v>595</v>
      </c>
      <c r="L211" s="62" t="s">
        <v>595</v>
      </c>
      <c r="M211" s="65" t="s">
        <v>595</v>
      </c>
      <c r="N211" s="65" t="s">
        <v>595</v>
      </c>
      <c r="O211" s="65" t="s">
        <v>595</v>
      </c>
      <c r="P211" s="65" t="s">
        <v>595</v>
      </c>
      <c r="Q211" s="65" t="s">
        <v>595</v>
      </c>
      <c r="R211" s="65" t="s">
        <v>595</v>
      </c>
      <c r="S211" s="65" t="s">
        <v>595</v>
      </c>
      <c r="T211" s="36" t="s">
        <v>596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 s="6"/>
    </row>
    <row r="212" spans="1:156" s="1" customFormat="1">
      <c r="A212" s="36">
        <v>222</v>
      </c>
      <c r="B212" s="37" t="s">
        <v>617</v>
      </c>
      <c r="C212" s="38" t="s">
        <v>618</v>
      </c>
      <c r="D212" s="39" t="s">
        <v>338</v>
      </c>
      <c r="E212" s="46">
        <v>119</v>
      </c>
      <c r="F212" s="56">
        <f>MROUND(IF(TRIM(T212)="ATHE", D212*0.75, IF(TRIM(T212)="Focus Awards", D212*0.6, D212*0.7)) + 1, 10) - 1</f>
        <v>129</v>
      </c>
      <c r="G212" s="41">
        <f t="shared" si="27"/>
        <v>0.37037037037037035</v>
      </c>
      <c r="H212" s="53">
        <f t="shared" si="28"/>
        <v>0.31746031746031744</v>
      </c>
      <c r="I212" s="42" t="s">
        <v>595</v>
      </c>
      <c r="J212" s="42" t="s">
        <v>595</v>
      </c>
      <c r="K212" s="59" t="s">
        <v>595</v>
      </c>
      <c r="L212" s="62" t="s">
        <v>595</v>
      </c>
      <c r="M212" s="65" t="s">
        <v>595</v>
      </c>
      <c r="N212" s="65" t="s">
        <v>595</v>
      </c>
      <c r="O212" s="65" t="s">
        <v>595</v>
      </c>
      <c r="P212" s="65" t="s">
        <v>595</v>
      </c>
      <c r="Q212" s="65" t="s">
        <v>595</v>
      </c>
      <c r="R212" s="65" t="s">
        <v>595</v>
      </c>
      <c r="S212" s="65" t="s">
        <v>595</v>
      </c>
      <c r="T212" s="36" t="s">
        <v>596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 s="6"/>
    </row>
    <row r="213" spans="1:156" s="1" customFormat="1">
      <c r="A213" s="42">
        <v>223</v>
      </c>
      <c r="B213" s="37" t="s">
        <v>619</v>
      </c>
      <c r="C213" s="38" t="s">
        <v>620</v>
      </c>
      <c r="D213" s="39" t="s">
        <v>338</v>
      </c>
      <c r="E213" s="46">
        <v>119</v>
      </c>
      <c r="F213" s="56">
        <f>MROUND(IF(TRIM(T213)="ATHE", D213*0.75, IF(TRIM(T213)="Focus Awards", D213*0.6, D213*0.7)) + 1, 10) - 1</f>
        <v>129</v>
      </c>
      <c r="G213" s="41">
        <f t="shared" si="27"/>
        <v>0.37037037037037035</v>
      </c>
      <c r="H213" s="53">
        <f t="shared" si="28"/>
        <v>0.31746031746031744</v>
      </c>
      <c r="I213" s="42" t="s">
        <v>595</v>
      </c>
      <c r="J213" s="42" t="s">
        <v>595</v>
      </c>
      <c r="K213" s="59" t="s">
        <v>595</v>
      </c>
      <c r="L213" s="62" t="s">
        <v>595</v>
      </c>
      <c r="M213" s="65" t="s">
        <v>595</v>
      </c>
      <c r="N213" s="65" t="s">
        <v>595</v>
      </c>
      <c r="O213" s="65" t="s">
        <v>595</v>
      </c>
      <c r="P213" s="65" t="s">
        <v>595</v>
      </c>
      <c r="Q213" s="65" t="s">
        <v>595</v>
      </c>
      <c r="R213" s="65" t="s">
        <v>595</v>
      </c>
      <c r="S213" s="65" t="s">
        <v>595</v>
      </c>
      <c r="T213" s="36" t="s">
        <v>596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 s="6"/>
    </row>
    <row r="214" spans="1:156" s="1" customFormat="1" ht="29.45">
      <c r="A214" s="36">
        <v>224</v>
      </c>
      <c r="B214" s="37" t="s">
        <v>621</v>
      </c>
      <c r="C214" s="38" t="s">
        <v>622</v>
      </c>
      <c r="D214" s="39" t="s">
        <v>623</v>
      </c>
      <c r="E214" s="46">
        <v>119</v>
      </c>
      <c r="F214" s="56">
        <f>MROUND(IF(TRIM(T214)="ATHE", D214*0.75, IF(TRIM(T214)="Focus Awards", D214*0.6, D214*0.7)) + 1, 10) - 1</f>
        <v>129</v>
      </c>
      <c r="G214" s="41">
        <f t="shared" si="27"/>
        <v>0.37040368234484944</v>
      </c>
      <c r="H214" s="53">
        <f t="shared" si="28"/>
        <v>0.31749642876038298</v>
      </c>
      <c r="I214" s="42" t="s">
        <v>595</v>
      </c>
      <c r="J214" s="42" t="s">
        <v>595</v>
      </c>
      <c r="K214" s="59" t="s">
        <v>595</v>
      </c>
      <c r="L214" s="62" t="s">
        <v>595</v>
      </c>
      <c r="M214" s="65" t="s">
        <v>595</v>
      </c>
      <c r="N214" s="65" t="s">
        <v>595</v>
      </c>
      <c r="O214" s="65" t="s">
        <v>595</v>
      </c>
      <c r="P214" s="65" t="s">
        <v>595</v>
      </c>
      <c r="Q214" s="65" t="s">
        <v>595</v>
      </c>
      <c r="R214" s="65" t="s">
        <v>595</v>
      </c>
      <c r="S214" s="65" t="s">
        <v>595</v>
      </c>
      <c r="T214" s="36" t="s">
        <v>596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 s="6"/>
    </row>
    <row r="215" spans="1:156" s="1" customFormat="1">
      <c r="A215" s="42">
        <v>225</v>
      </c>
      <c r="B215" s="37" t="s">
        <v>624</v>
      </c>
      <c r="C215" s="38" t="s">
        <v>625</v>
      </c>
      <c r="D215" s="39" t="s">
        <v>338</v>
      </c>
      <c r="E215" s="46">
        <v>119</v>
      </c>
      <c r="F215" s="56">
        <f>MROUND(IF(TRIM(T215)="ATHE", D215*0.75, IF(TRIM(T215)="Focus Awards", D215*0.6, D215*0.7)) + 1, 10) - 1</f>
        <v>129</v>
      </c>
      <c r="G215" s="41">
        <f t="shared" si="27"/>
        <v>0.37037037037037035</v>
      </c>
      <c r="H215" s="53">
        <f t="shared" si="28"/>
        <v>0.31746031746031744</v>
      </c>
      <c r="I215" s="42" t="s">
        <v>595</v>
      </c>
      <c r="J215" s="42" t="s">
        <v>595</v>
      </c>
      <c r="K215" s="59" t="s">
        <v>595</v>
      </c>
      <c r="L215" s="62" t="s">
        <v>595</v>
      </c>
      <c r="M215" s="65" t="s">
        <v>595</v>
      </c>
      <c r="N215" s="65" t="s">
        <v>595</v>
      </c>
      <c r="O215" s="65" t="s">
        <v>595</v>
      </c>
      <c r="P215" s="65" t="s">
        <v>595</v>
      </c>
      <c r="Q215" s="65" t="s">
        <v>595</v>
      </c>
      <c r="R215" s="65" t="s">
        <v>595</v>
      </c>
      <c r="S215" s="65" t="s">
        <v>595</v>
      </c>
      <c r="T215" s="36" t="s">
        <v>596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 s="6"/>
    </row>
    <row r="216" spans="1:156" s="1" customFormat="1">
      <c r="A216" s="36">
        <v>226</v>
      </c>
      <c r="B216" s="37" t="s">
        <v>626</v>
      </c>
      <c r="C216" s="38" t="s">
        <v>627</v>
      </c>
      <c r="D216" s="49" t="s">
        <v>338</v>
      </c>
      <c r="E216" s="48">
        <v>119</v>
      </c>
      <c r="F216" s="56">
        <f>MROUND(IF(TRIM(T216)="ATHE", D216*0.75, IF(TRIM(T216)="Focus Awards", D216*0.6, D216*0.7)) + 1, 10) - 1</f>
        <v>129</v>
      </c>
      <c r="G216" s="41">
        <f t="shared" si="27"/>
        <v>0.37037037037037035</v>
      </c>
      <c r="H216" s="53">
        <f t="shared" si="28"/>
        <v>0.31746031746031744</v>
      </c>
      <c r="I216" s="36" t="s">
        <v>595</v>
      </c>
      <c r="J216" s="36" t="s">
        <v>595</v>
      </c>
      <c r="K216" s="59" t="s">
        <v>595</v>
      </c>
      <c r="L216" s="62" t="s">
        <v>595</v>
      </c>
      <c r="M216" s="65" t="s">
        <v>595</v>
      </c>
      <c r="N216" s="65" t="s">
        <v>595</v>
      </c>
      <c r="O216" s="65" t="s">
        <v>595</v>
      </c>
      <c r="P216" s="65" t="s">
        <v>595</v>
      </c>
      <c r="Q216" s="65" t="s">
        <v>595</v>
      </c>
      <c r="R216" s="65" t="s">
        <v>595</v>
      </c>
      <c r="S216" s="65" t="s">
        <v>595</v>
      </c>
      <c r="T216" s="36" t="s">
        <v>596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 s="6"/>
    </row>
    <row r="217" spans="1:156" s="1" customFormat="1">
      <c r="A217" s="42">
        <v>227</v>
      </c>
      <c r="B217" s="37" t="s">
        <v>628</v>
      </c>
      <c r="C217" s="38" t="s">
        <v>629</v>
      </c>
      <c r="D217" s="49" t="s">
        <v>338</v>
      </c>
      <c r="E217" s="48">
        <v>119</v>
      </c>
      <c r="F217" s="56">
        <f>MROUND(IF(TRIM(T217)="ATHE", D217*0.75, IF(TRIM(T217)="Focus Awards", D217*0.6, D217*0.7)) + 1, 10) - 1</f>
        <v>129</v>
      </c>
      <c r="G217" s="41">
        <f t="shared" si="27"/>
        <v>0.37037037037037035</v>
      </c>
      <c r="H217" s="53">
        <f t="shared" si="28"/>
        <v>0.31746031746031744</v>
      </c>
      <c r="I217" s="36" t="s">
        <v>595</v>
      </c>
      <c r="J217" s="36" t="s">
        <v>595</v>
      </c>
      <c r="K217" s="59" t="s">
        <v>595</v>
      </c>
      <c r="L217" s="62" t="s">
        <v>595</v>
      </c>
      <c r="M217" s="65" t="s">
        <v>595</v>
      </c>
      <c r="N217" s="65" t="s">
        <v>595</v>
      </c>
      <c r="O217" s="65" t="s">
        <v>595</v>
      </c>
      <c r="P217" s="65" t="s">
        <v>595</v>
      </c>
      <c r="Q217" s="65" t="s">
        <v>595</v>
      </c>
      <c r="R217" s="65" t="s">
        <v>595</v>
      </c>
      <c r="S217" s="65" t="s">
        <v>595</v>
      </c>
      <c r="T217" s="36" t="s">
        <v>596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 s="6"/>
    </row>
    <row r="218" spans="1:156" s="1" customFormat="1">
      <c r="A218" s="36">
        <v>228</v>
      </c>
      <c r="B218" s="37" t="s">
        <v>630</v>
      </c>
      <c r="C218" s="38" t="s">
        <v>631</v>
      </c>
      <c r="D218" s="49" t="s">
        <v>338</v>
      </c>
      <c r="E218" s="48">
        <v>119</v>
      </c>
      <c r="F218" s="56">
        <f>MROUND(IF(TRIM(T218)="ATHE", D218*0.75, IF(TRIM(T218)="Focus Awards", D218*0.6, D218*0.7)) + 1, 10) - 1</f>
        <v>129</v>
      </c>
      <c r="G218" s="41">
        <f t="shared" si="27"/>
        <v>0.37037037037037035</v>
      </c>
      <c r="H218" s="53">
        <f t="shared" si="28"/>
        <v>0.31746031746031744</v>
      </c>
      <c r="I218" s="36" t="s">
        <v>595</v>
      </c>
      <c r="J218" s="36" t="s">
        <v>595</v>
      </c>
      <c r="K218" s="59" t="s">
        <v>595</v>
      </c>
      <c r="L218" s="62" t="s">
        <v>595</v>
      </c>
      <c r="M218" s="65" t="s">
        <v>595</v>
      </c>
      <c r="N218" s="65" t="s">
        <v>595</v>
      </c>
      <c r="O218" s="65" t="s">
        <v>595</v>
      </c>
      <c r="P218" s="65" t="s">
        <v>595</v>
      </c>
      <c r="Q218" s="65" t="s">
        <v>595</v>
      </c>
      <c r="R218" s="65" t="s">
        <v>595</v>
      </c>
      <c r="S218" s="65" t="s">
        <v>595</v>
      </c>
      <c r="T218" s="36" t="s">
        <v>596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 s="6"/>
    </row>
    <row r="219" spans="1:156" s="1" customFormat="1" ht="29.45">
      <c r="A219" s="42">
        <v>229</v>
      </c>
      <c r="B219" s="37" t="s">
        <v>632</v>
      </c>
      <c r="C219" s="38" t="s">
        <v>633</v>
      </c>
      <c r="D219" s="49" t="s">
        <v>338</v>
      </c>
      <c r="E219" s="48">
        <v>119</v>
      </c>
      <c r="F219" s="56">
        <f>MROUND(IF(TRIM(T219)="ATHE", D219*0.75, IF(TRIM(T219)="Focus Awards", D219*0.6, D219*0.7)) + 1, 10) - 1</f>
        <v>129</v>
      </c>
      <c r="G219" s="41">
        <f t="shared" si="27"/>
        <v>0.37037037037037035</v>
      </c>
      <c r="H219" s="53">
        <f t="shared" si="28"/>
        <v>0.31746031746031744</v>
      </c>
      <c r="I219" s="36" t="s">
        <v>595</v>
      </c>
      <c r="J219" s="36" t="s">
        <v>595</v>
      </c>
      <c r="K219" s="59" t="s">
        <v>595</v>
      </c>
      <c r="L219" s="62" t="s">
        <v>595</v>
      </c>
      <c r="M219" s="65" t="s">
        <v>595</v>
      </c>
      <c r="N219" s="65" t="s">
        <v>595</v>
      </c>
      <c r="O219" s="65" t="s">
        <v>595</v>
      </c>
      <c r="P219" s="65" t="s">
        <v>595</v>
      </c>
      <c r="Q219" s="65" t="s">
        <v>595</v>
      </c>
      <c r="R219" s="65" t="s">
        <v>595</v>
      </c>
      <c r="S219" s="65" t="s">
        <v>595</v>
      </c>
      <c r="T219" s="36" t="s">
        <v>596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 s="6"/>
    </row>
    <row r="220" spans="1:156" s="1" customFormat="1">
      <c r="A220" s="36">
        <v>230</v>
      </c>
      <c r="B220" s="37" t="s">
        <v>634</v>
      </c>
      <c r="C220" s="38" t="s">
        <v>635</v>
      </c>
      <c r="D220" s="49" t="s">
        <v>338</v>
      </c>
      <c r="E220" s="48">
        <v>119</v>
      </c>
      <c r="F220" s="56">
        <f>MROUND(IF(TRIM(T220)="ATHE", D220*0.75, IF(TRIM(T220)="Focus Awards", D220*0.6, D220*0.7)) + 1, 10) - 1</f>
        <v>129</v>
      </c>
      <c r="G220" s="41">
        <f t="shared" si="27"/>
        <v>0.37037037037037035</v>
      </c>
      <c r="H220" s="53">
        <f t="shared" si="28"/>
        <v>0.31746031746031744</v>
      </c>
      <c r="I220" s="36" t="s">
        <v>595</v>
      </c>
      <c r="J220" s="36" t="s">
        <v>595</v>
      </c>
      <c r="K220" s="59" t="s">
        <v>595</v>
      </c>
      <c r="L220" s="62" t="s">
        <v>595</v>
      </c>
      <c r="M220" s="65" t="s">
        <v>595</v>
      </c>
      <c r="N220" s="65" t="s">
        <v>595</v>
      </c>
      <c r="O220" s="65" t="s">
        <v>595</v>
      </c>
      <c r="P220" s="65" t="s">
        <v>595</v>
      </c>
      <c r="Q220" s="65" t="s">
        <v>595</v>
      </c>
      <c r="R220" s="65" t="s">
        <v>595</v>
      </c>
      <c r="S220" s="65" t="s">
        <v>595</v>
      </c>
      <c r="T220" s="36" t="s">
        <v>596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 s="6"/>
    </row>
    <row r="221" spans="1:156" s="1" customFormat="1" ht="29.45">
      <c r="A221" s="42">
        <v>231</v>
      </c>
      <c r="B221" s="37" t="s">
        <v>636</v>
      </c>
      <c r="C221" s="38" t="s">
        <v>637</v>
      </c>
      <c r="D221" s="39" t="s">
        <v>594</v>
      </c>
      <c r="E221" s="46">
        <v>89</v>
      </c>
      <c r="F221" s="56">
        <f>MROUND(IF(TRIM(T221)="ATHE", D221*0.75, IF(TRIM(T221)="Focus Awards", D221*0.6, D221*0.7)) + 1, 10) - 1</f>
        <v>99</v>
      </c>
      <c r="G221" s="41">
        <f t="shared" si="27"/>
        <v>0.35971223021582732</v>
      </c>
      <c r="H221" s="53">
        <f t="shared" si="28"/>
        <v>0.28776978417266186</v>
      </c>
      <c r="I221" s="42" t="s">
        <v>595</v>
      </c>
      <c r="J221" s="42" t="s">
        <v>595</v>
      </c>
      <c r="K221" s="59" t="s">
        <v>595</v>
      </c>
      <c r="L221" s="62" t="s">
        <v>595</v>
      </c>
      <c r="M221" s="65" t="s">
        <v>595</v>
      </c>
      <c r="N221" s="65" t="s">
        <v>595</v>
      </c>
      <c r="O221" s="65" t="s">
        <v>595</v>
      </c>
      <c r="P221" s="65" t="s">
        <v>595</v>
      </c>
      <c r="Q221" s="65" t="s">
        <v>595</v>
      </c>
      <c r="R221" s="65" t="s">
        <v>595</v>
      </c>
      <c r="S221" s="65" t="s">
        <v>595</v>
      </c>
      <c r="T221" s="36" t="s">
        <v>596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 s="6"/>
    </row>
    <row r="222" spans="1:156" s="1" customFormat="1" ht="29.45">
      <c r="A222" s="36">
        <v>232</v>
      </c>
      <c r="B222" s="37" t="s">
        <v>638</v>
      </c>
      <c r="C222" s="38" t="s">
        <v>639</v>
      </c>
      <c r="D222" s="39" t="s">
        <v>338</v>
      </c>
      <c r="E222" s="46">
        <v>119</v>
      </c>
      <c r="F222" s="56">
        <f>MROUND(IF(TRIM(T222)="ATHE", D222*0.75, IF(TRIM(T222)="Focus Awards", D222*0.6, D222*0.7)) + 1, 10) - 1</f>
        <v>129</v>
      </c>
      <c r="G222" s="41">
        <f t="shared" si="27"/>
        <v>0.37037037037037035</v>
      </c>
      <c r="H222" s="53">
        <f t="shared" si="28"/>
        <v>0.31746031746031744</v>
      </c>
      <c r="I222" s="42" t="s">
        <v>595</v>
      </c>
      <c r="J222" s="42" t="s">
        <v>595</v>
      </c>
      <c r="K222" s="59" t="s">
        <v>595</v>
      </c>
      <c r="L222" s="62" t="s">
        <v>595</v>
      </c>
      <c r="M222" s="65" t="s">
        <v>595</v>
      </c>
      <c r="N222" s="65" t="s">
        <v>595</v>
      </c>
      <c r="O222" s="65" t="s">
        <v>595</v>
      </c>
      <c r="P222" s="65" t="s">
        <v>595</v>
      </c>
      <c r="Q222" s="65" t="s">
        <v>595</v>
      </c>
      <c r="R222" s="65" t="s">
        <v>595</v>
      </c>
      <c r="S222" s="65" t="s">
        <v>595</v>
      </c>
      <c r="T222" s="36" t="s">
        <v>596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 s="6"/>
    </row>
    <row r="223" spans="1:156" s="1" customFormat="1" ht="29.45">
      <c r="A223" s="42">
        <v>233</v>
      </c>
      <c r="B223" s="37" t="s">
        <v>640</v>
      </c>
      <c r="C223" s="38" t="s">
        <v>641</v>
      </c>
      <c r="D223" s="39" t="s">
        <v>321</v>
      </c>
      <c r="E223" s="40" t="s">
        <v>642</v>
      </c>
      <c r="F223" s="56">
        <f>MROUND(IF(TRIM(T223)="ATHE", D223*0.75, IF(TRIM(T223)="Focus Awards", D223*0.6, D223*0.7)) + 1, 10) - 1</f>
        <v>169</v>
      </c>
      <c r="G223" s="41">
        <f t="shared" si="27"/>
        <v>0.37656903765690375</v>
      </c>
      <c r="H223" s="53">
        <f t="shared" si="28"/>
        <v>0.29288702928870292</v>
      </c>
      <c r="I223" s="42" t="s">
        <v>595</v>
      </c>
      <c r="J223" s="42" t="s">
        <v>595</v>
      </c>
      <c r="K223" s="59" t="s">
        <v>595</v>
      </c>
      <c r="L223" s="62" t="s">
        <v>595</v>
      </c>
      <c r="M223" s="65" t="s">
        <v>595</v>
      </c>
      <c r="N223" s="65" t="s">
        <v>595</v>
      </c>
      <c r="O223" s="65" t="s">
        <v>595</v>
      </c>
      <c r="P223" s="65" t="s">
        <v>595</v>
      </c>
      <c r="Q223" s="65" t="s">
        <v>595</v>
      </c>
      <c r="R223" s="65" t="s">
        <v>595</v>
      </c>
      <c r="S223" s="65" t="s">
        <v>595</v>
      </c>
      <c r="T223" s="36" t="s">
        <v>596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 s="6"/>
    </row>
    <row r="224" spans="1:156" s="1" customFormat="1">
      <c r="A224" s="36">
        <v>234</v>
      </c>
      <c r="B224" s="37" t="s">
        <v>643</v>
      </c>
      <c r="C224" s="38" t="s">
        <v>644</v>
      </c>
      <c r="D224" s="39" t="s">
        <v>321</v>
      </c>
      <c r="E224" s="40" t="s">
        <v>642</v>
      </c>
      <c r="F224" s="56">
        <f>MROUND(IF(TRIM(T224)="ATHE", D224*0.75, IF(TRIM(T224)="Focus Awards", D224*0.6, D224*0.7)) + 1, 10) - 1</f>
        <v>169</v>
      </c>
      <c r="G224" s="41">
        <f t="shared" si="27"/>
        <v>0.37656903765690375</v>
      </c>
      <c r="H224" s="53">
        <f t="shared" si="28"/>
        <v>0.29288702928870292</v>
      </c>
      <c r="I224" s="42" t="s">
        <v>595</v>
      </c>
      <c r="J224" s="42" t="s">
        <v>595</v>
      </c>
      <c r="K224" s="59" t="s">
        <v>595</v>
      </c>
      <c r="L224" s="62" t="s">
        <v>595</v>
      </c>
      <c r="M224" s="65" t="s">
        <v>595</v>
      </c>
      <c r="N224" s="65" t="s">
        <v>595</v>
      </c>
      <c r="O224" s="65" t="s">
        <v>595</v>
      </c>
      <c r="P224" s="65" t="s">
        <v>595</v>
      </c>
      <c r="Q224" s="65" t="s">
        <v>595</v>
      </c>
      <c r="R224" s="65" t="s">
        <v>595</v>
      </c>
      <c r="S224" s="65" t="s">
        <v>595</v>
      </c>
      <c r="T224" s="36" t="s">
        <v>596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 s="6"/>
    </row>
    <row r="225" spans="1:156" s="1" customFormat="1" ht="29.45">
      <c r="A225" s="42">
        <v>235</v>
      </c>
      <c r="B225" s="37" t="s">
        <v>645</v>
      </c>
      <c r="C225" s="38" t="s">
        <v>646</v>
      </c>
      <c r="D225" s="39" t="s">
        <v>647</v>
      </c>
      <c r="E225" s="40" t="s">
        <v>648</v>
      </c>
      <c r="F225" s="56">
        <f>MROUND(IF(TRIM(T225)="ATHE", D225*0.75, IF(TRIM(T225)="Focus Awards", D225*0.6, D225*0.7)) + 1, 10) - 1</f>
        <v>69</v>
      </c>
      <c r="G225" s="41">
        <f t="shared" si="27"/>
        <v>0.40404040404040409</v>
      </c>
      <c r="H225" s="53">
        <f t="shared" si="28"/>
        <v>0.30303030303030298</v>
      </c>
      <c r="I225" s="42" t="s">
        <v>595</v>
      </c>
      <c r="J225" s="42" t="s">
        <v>595</v>
      </c>
      <c r="K225" s="59" t="s">
        <v>595</v>
      </c>
      <c r="L225" s="62" t="s">
        <v>595</v>
      </c>
      <c r="M225" s="65" t="s">
        <v>595</v>
      </c>
      <c r="N225" s="65" t="s">
        <v>595</v>
      </c>
      <c r="O225" s="65" t="s">
        <v>595</v>
      </c>
      <c r="P225" s="65" t="s">
        <v>595</v>
      </c>
      <c r="Q225" s="65" t="s">
        <v>595</v>
      </c>
      <c r="R225" s="65" t="s">
        <v>595</v>
      </c>
      <c r="S225" s="65" t="s">
        <v>595</v>
      </c>
      <c r="T225" s="36" t="s">
        <v>596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 s="6"/>
    </row>
    <row r="226" spans="1:156" s="1" customFormat="1" ht="29.45">
      <c r="A226" s="36">
        <v>236</v>
      </c>
      <c r="B226" s="37" t="s">
        <v>649</v>
      </c>
      <c r="C226" s="38" t="s">
        <v>650</v>
      </c>
      <c r="D226" s="39" t="s">
        <v>651</v>
      </c>
      <c r="E226" s="40" t="s">
        <v>652</v>
      </c>
      <c r="F226" s="56">
        <f>MROUND(IF(TRIM(T226)="ATHE", D226*0.75, IF(TRIM(T226)="Focus Awards", D226*0.6, D226*0.7)) + 1, 10) - 1</f>
        <v>239</v>
      </c>
      <c r="G226" s="41">
        <f t="shared" si="27"/>
        <v>0.38348082595870203</v>
      </c>
      <c r="H226" s="53">
        <f t="shared" si="28"/>
        <v>0.29498525073746318</v>
      </c>
      <c r="I226" s="42" t="s">
        <v>595</v>
      </c>
      <c r="J226" s="42" t="s">
        <v>595</v>
      </c>
      <c r="K226" s="59" t="s">
        <v>595</v>
      </c>
      <c r="L226" s="62" t="s">
        <v>595</v>
      </c>
      <c r="M226" s="65" t="s">
        <v>595</v>
      </c>
      <c r="N226" s="65" t="s">
        <v>595</v>
      </c>
      <c r="O226" s="65" t="s">
        <v>595</v>
      </c>
      <c r="P226" s="65" t="s">
        <v>595</v>
      </c>
      <c r="Q226" s="65" t="s">
        <v>595</v>
      </c>
      <c r="R226" s="65" t="s">
        <v>595</v>
      </c>
      <c r="S226" s="65" t="s">
        <v>595</v>
      </c>
      <c r="T226" s="36" t="s">
        <v>596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 s="6"/>
    </row>
    <row r="227" spans="1:156" s="1" customFormat="1">
      <c r="A227" s="42">
        <v>237</v>
      </c>
      <c r="B227" s="37" t="s">
        <v>653</v>
      </c>
      <c r="C227" s="38" t="s">
        <v>654</v>
      </c>
      <c r="D227" s="39" t="s">
        <v>651</v>
      </c>
      <c r="E227" s="40" t="s">
        <v>652</v>
      </c>
      <c r="F227" s="56">
        <f>MROUND(IF(TRIM(T227)="ATHE", D227*0.75, IF(TRIM(T227)="Focus Awards", D227*0.6, D227*0.7)) + 1, 10) - 1</f>
        <v>239</v>
      </c>
      <c r="G227" s="41">
        <f t="shared" si="27"/>
        <v>0.38348082595870203</v>
      </c>
      <c r="H227" s="53">
        <f t="shared" si="28"/>
        <v>0.29498525073746318</v>
      </c>
      <c r="I227" s="42" t="s">
        <v>595</v>
      </c>
      <c r="J227" s="42" t="s">
        <v>595</v>
      </c>
      <c r="K227" s="59" t="s">
        <v>595</v>
      </c>
      <c r="L227" s="62" t="s">
        <v>595</v>
      </c>
      <c r="M227" s="65" t="s">
        <v>595</v>
      </c>
      <c r="N227" s="65" t="s">
        <v>595</v>
      </c>
      <c r="O227" s="65" t="s">
        <v>595</v>
      </c>
      <c r="P227" s="65" t="s">
        <v>595</v>
      </c>
      <c r="Q227" s="65" t="s">
        <v>595</v>
      </c>
      <c r="R227" s="65" t="s">
        <v>595</v>
      </c>
      <c r="S227" s="65" t="s">
        <v>595</v>
      </c>
      <c r="T227" s="36" t="s">
        <v>596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 s="6"/>
    </row>
    <row r="228" spans="1:156" s="1" customFormat="1" ht="29.45">
      <c r="A228" s="36">
        <v>238</v>
      </c>
      <c r="B228" s="37" t="s">
        <v>655</v>
      </c>
      <c r="C228" s="38" t="s">
        <v>656</v>
      </c>
      <c r="D228" s="39" t="s">
        <v>594</v>
      </c>
      <c r="E228" s="40" t="s">
        <v>657</v>
      </c>
      <c r="F228" s="56">
        <f>MROUND(IF(TRIM(T228)="ATHE", D228*0.75, IF(TRIM(T228)="Focus Awards", D228*0.6, D228*0.7)) + 1, 10) - 1</f>
        <v>99</v>
      </c>
      <c r="G228" s="41">
        <f t="shared" si="27"/>
        <v>0.35971223021582732</v>
      </c>
      <c r="H228" s="53">
        <f t="shared" si="28"/>
        <v>0.28776978417266186</v>
      </c>
      <c r="I228" s="42" t="s">
        <v>595</v>
      </c>
      <c r="J228" s="42" t="s">
        <v>595</v>
      </c>
      <c r="K228" s="59" t="s">
        <v>595</v>
      </c>
      <c r="L228" s="62" t="s">
        <v>595</v>
      </c>
      <c r="M228" s="65" t="s">
        <v>595</v>
      </c>
      <c r="N228" s="65" t="s">
        <v>595</v>
      </c>
      <c r="O228" s="65" t="s">
        <v>595</v>
      </c>
      <c r="P228" s="65" t="s">
        <v>595</v>
      </c>
      <c r="Q228" s="65" t="s">
        <v>595</v>
      </c>
      <c r="R228" s="65" t="s">
        <v>595</v>
      </c>
      <c r="S228" s="65" t="s">
        <v>595</v>
      </c>
      <c r="T228" s="36" t="s">
        <v>596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 s="6"/>
    </row>
    <row r="229" spans="1:156" s="1" customFormat="1" ht="29.45">
      <c r="A229" s="42">
        <v>239</v>
      </c>
      <c r="B229" s="37" t="s">
        <v>658</v>
      </c>
      <c r="C229" s="38" t="s">
        <v>659</v>
      </c>
      <c r="D229" s="39" t="s">
        <v>338</v>
      </c>
      <c r="E229" s="40" t="s">
        <v>660</v>
      </c>
      <c r="F229" s="56">
        <f>MROUND(IF(TRIM(T229)="ATHE", D229*0.75, IF(TRIM(T229)="Focus Awards", D229*0.6, D229*0.7)) + 1, 10) - 1</f>
        <v>129</v>
      </c>
      <c r="G229" s="41">
        <f t="shared" si="27"/>
        <v>0.37037037037037035</v>
      </c>
      <c r="H229" s="53">
        <f t="shared" si="28"/>
        <v>0.31746031746031744</v>
      </c>
      <c r="I229" s="42" t="s">
        <v>595</v>
      </c>
      <c r="J229" s="42" t="s">
        <v>595</v>
      </c>
      <c r="K229" s="59" t="s">
        <v>595</v>
      </c>
      <c r="L229" s="62" t="s">
        <v>595</v>
      </c>
      <c r="M229" s="65" t="s">
        <v>595</v>
      </c>
      <c r="N229" s="65" t="s">
        <v>595</v>
      </c>
      <c r="O229" s="65" t="s">
        <v>595</v>
      </c>
      <c r="P229" s="65" t="s">
        <v>595</v>
      </c>
      <c r="Q229" s="65" t="s">
        <v>595</v>
      </c>
      <c r="R229" s="65" t="s">
        <v>595</v>
      </c>
      <c r="S229" s="65" t="s">
        <v>595</v>
      </c>
      <c r="T229" s="36" t="s">
        <v>596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 s="6"/>
    </row>
    <row r="230" spans="1:156" s="1" customFormat="1" ht="29.45">
      <c r="A230" s="36">
        <v>240</v>
      </c>
      <c r="B230" s="37" t="s">
        <v>661</v>
      </c>
      <c r="C230" s="38" t="s">
        <v>662</v>
      </c>
      <c r="D230" s="39" t="s">
        <v>321</v>
      </c>
      <c r="E230" s="40" t="s">
        <v>642</v>
      </c>
      <c r="F230" s="56">
        <f>MROUND(IF(TRIM(T230)="ATHE", D230*0.75, IF(TRIM(T230)="Focus Awards", D230*0.6, D230*0.7)) + 1, 10) - 1</f>
        <v>169</v>
      </c>
      <c r="G230" s="41">
        <f t="shared" si="27"/>
        <v>0.37656903765690375</v>
      </c>
      <c r="H230" s="53">
        <f t="shared" si="28"/>
        <v>0.29288702928870292</v>
      </c>
      <c r="I230" s="42" t="s">
        <v>595</v>
      </c>
      <c r="J230" s="42" t="s">
        <v>595</v>
      </c>
      <c r="K230" s="59" t="s">
        <v>595</v>
      </c>
      <c r="L230" s="62" t="s">
        <v>595</v>
      </c>
      <c r="M230" s="65" t="s">
        <v>595</v>
      </c>
      <c r="N230" s="65" t="s">
        <v>595</v>
      </c>
      <c r="O230" s="65" t="s">
        <v>595</v>
      </c>
      <c r="P230" s="65" t="s">
        <v>595</v>
      </c>
      <c r="Q230" s="65" t="s">
        <v>595</v>
      </c>
      <c r="R230" s="65" t="s">
        <v>595</v>
      </c>
      <c r="S230" s="65" t="s">
        <v>595</v>
      </c>
      <c r="T230" s="36" t="s">
        <v>596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 s="6"/>
    </row>
    <row r="231" spans="1:156" s="1" customFormat="1">
      <c r="A231" s="42">
        <v>241</v>
      </c>
      <c r="B231" s="37" t="s">
        <v>663</v>
      </c>
      <c r="C231" s="38" t="s">
        <v>664</v>
      </c>
      <c r="D231" s="39" t="s">
        <v>321</v>
      </c>
      <c r="E231" s="40" t="s">
        <v>642</v>
      </c>
      <c r="F231" s="56">
        <f>MROUND(IF(TRIM(T231)="ATHE", D231*0.75, IF(TRIM(T231)="Focus Awards", D231*0.6, D231*0.7)) + 1, 10) - 1</f>
        <v>169</v>
      </c>
      <c r="G231" s="41">
        <f t="shared" si="27"/>
        <v>0.37656903765690375</v>
      </c>
      <c r="H231" s="53">
        <f t="shared" si="28"/>
        <v>0.29288702928870292</v>
      </c>
      <c r="I231" s="42" t="s">
        <v>595</v>
      </c>
      <c r="J231" s="42" t="s">
        <v>595</v>
      </c>
      <c r="K231" s="59" t="s">
        <v>595</v>
      </c>
      <c r="L231" s="62" t="s">
        <v>595</v>
      </c>
      <c r="M231" s="65" t="s">
        <v>595</v>
      </c>
      <c r="N231" s="65" t="s">
        <v>595</v>
      </c>
      <c r="O231" s="65" t="s">
        <v>595</v>
      </c>
      <c r="P231" s="65" t="s">
        <v>595</v>
      </c>
      <c r="Q231" s="65" t="s">
        <v>595</v>
      </c>
      <c r="R231" s="65" t="s">
        <v>595</v>
      </c>
      <c r="S231" s="65" t="s">
        <v>595</v>
      </c>
      <c r="T231" s="36" t="s">
        <v>596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 s="6"/>
    </row>
    <row r="232" spans="1:156" s="1" customFormat="1">
      <c r="A232" s="36">
        <v>242</v>
      </c>
      <c r="B232" s="37" t="s">
        <v>665</v>
      </c>
      <c r="C232" s="38" t="s">
        <v>666</v>
      </c>
      <c r="D232" s="39" t="s">
        <v>594</v>
      </c>
      <c r="E232" s="40" t="s">
        <v>657</v>
      </c>
      <c r="F232" s="56">
        <f>MROUND(IF(TRIM(T232)="ATHE", D232*0.75, IF(TRIM(T232)="Focus Awards", D232*0.6, D232*0.7)) + 1, 10) - 1</f>
        <v>99</v>
      </c>
      <c r="G232" s="41">
        <f t="shared" si="27"/>
        <v>0.35971223021582732</v>
      </c>
      <c r="H232" s="53">
        <f t="shared" si="28"/>
        <v>0.28776978417266186</v>
      </c>
      <c r="I232" s="42" t="s">
        <v>595</v>
      </c>
      <c r="J232" s="42" t="s">
        <v>595</v>
      </c>
      <c r="K232" s="59" t="s">
        <v>595</v>
      </c>
      <c r="L232" s="62" t="s">
        <v>595</v>
      </c>
      <c r="M232" s="65" t="s">
        <v>595</v>
      </c>
      <c r="N232" s="65" t="s">
        <v>595</v>
      </c>
      <c r="O232" s="65" t="s">
        <v>595</v>
      </c>
      <c r="P232" s="65" t="s">
        <v>595</v>
      </c>
      <c r="Q232" s="65" t="s">
        <v>595</v>
      </c>
      <c r="R232" s="65" t="s">
        <v>595</v>
      </c>
      <c r="S232" s="65" t="s">
        <v>595</v>
      </c>
      <c r="T232" s="36" t="s">
        <v>596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 s="6"/>
    </row>
    <row r="233" spans="1:156" s="1" customFormat="1">
      <c r="A233" s="42">
        <v>243</v>
      </c>
      <c r="B233" s="37" t="s">
        <v>667</v>
      </c>
      <c r="C233" s="38" t="s">
        <v>668</v>
      </c>
      <c r="D233" s="39" t="s">
        <v>338</v>
      </c>
      <c r="E233" s="40" t="s">
        <v>660</v>
      </c>
      <c r="F233" s="56">
        <f>MROUND(IF(TRIM(T233)="ATHE", D233*0.75, IF(TRIM(T233)="Focus Awards", D233*0.6, D233*0.7)) + 1, 10) - 1</f>
        <v>129</v>
      </c>
      <c r="G233" s="41">
        <f t="shared" si="27"/>
        <v>0.37037037037037035</v>
      </c>
      <c r="H233" s="53">
        <f t="shared" si="28"/>
        <v>0.31746031746031744</v>
      </c>
      <c r="I233" s="42" t="s">
        <v>595</v>
      </c>
      <c r="J233" s="42" t="s">
        <v>595</v>
      </c>
      <c r="K233" s="59" t="s">
        <v>595</v>
      </c>
      <c r="L233" s="62" t="s">
        <v>595</v>
      </c>
      <c r="M233" s="65" t="s">
        <v>595</v>
      </c>
      <c r="N233" s="65" t="s">
        <v>595</v>
      </c>
      <c r="O233" s="65" t="s">
        <v>595</v>
      </c>
      <c r="P233" s="65" t="s">
        <v>595</v>
      </c>
      <c r="Q233" s="65" t="s">
        <v>595</v>
      </c>
      <c r="R233" s="65" t="s">
        <v>595</v>
      </c>
      <c r="S233" s="65" t="s">
        <v>595</v>
      </c>
      <c r="T233" s="36" t="s">
        <v>596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 s="6"/>
    </row>
    <row r="234" spans="1:156" s="1" customFormat="1" ht="29.45">
      <c r="A234" s="36">
        <v>244</v>
      </c>
      <c r="B234" s="37" t="s">
        <v>669</v>
      </c>
      <c r="C234" s="38" t="s">
        <v>670</v>
      </c>
      <c r="D234" s="39" t="s">
        <v>338</v>
      </c>
      <c r="E234" s="40" t="s">
        <v>660</v>
      </c>
      <c r="F234" s="56">
        <f>MROUND(IF(TRIM(T234)="ATHE", D234*0.75, IF(TRIM(T234)="Focus Awards", D234*0.6, D234*0.7)) + 1, 10) - 1</f>
        <v>129</v>
      </c>
      <c r="G234" s="41">
        <f t="shared" si="27"/>
        <v>0.37037037037037035</v>
      </c>
      <c r="H234" s="53">
        <f t="shared" si="28"/>
        <v>0.31746031746031744</v>
      </c>
      <c r="I234" s="42" t="s">
        <v>595</v>
      </c>
      <c r="J234" s="42" t="s">
        <v>595</v>
      </c>
      <c r="K234" s="59" t="s">
        <v>595</v>
      </c>
      <c r="L234" s="62" t="s">
        <v>595</v>
      </c>
      <c r="M234" s="65" t="s">
        <v>595</v>
      </c>
      <c r="N234" s="65" t="s">
        <v>595</v>
      </c>
      <c r="O234" s="65" t="s">
        <v>595</v>
      </c>
      <c r="P234" s="65" t="s">
        <v>595</v>
      </c>
      <c r="Q234" s="65" t="s">
        <v>595</v>
      </c>
      <c r="R234" s="65" t="s">
        <v>595</v>
      </c>
      <c r="S234" s="65" t="s">
        <v>595</v>
      </c>
      <c r="T234" s="36" t="s">
        <v>596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 s="6"/>
    </row>
    <row r="235" spans="1:156" s="1" customFormat="1">
      <c r="A235" s="42">
        <v>245</v>
      </c>
      <c r="B235" s="37" t="s">
        <v>671</v>
      </c>
      <c r="C235" s="38" t="s">
        <v>672</v>
      </c>
      <c r="D235" s="39" t="s">
        <v>594</v>
      </c>
      <c r="E235" s="40" t="s">
        <v>657</v>
      </c>
      <c r="F235" s="56">
        <f>MROUND(IF(TRIM(T235)="ATHE", D235*0.75, IF(TRIM(T235)="Focus Awards", D235*0.6, D235*0.7)) + 1, 10) - 1</f>
        <v>99</v>
      </c>
      <c r="G235" s="41">
        <f t="shared" si="27"/>
        <v>0.35971223021582732</v>
      </c>
      <c r="H235" s="53">
        <f t="shared" si="28"/>
        <v>0.28776978417266186</v>
      </c>
      <c r="I235" s="42" t="s">
        <v>595</v>
      </c>
      <c r="J235" s="42" t="s">
        <v>595</v>
      </c>
      <c r="K235" s="59" t="s">
        <v>595</v>
      </c>
      <c r="L235" s="62" t="s">
        <v>595</v>
      </c>
      <c r="M235" s="65" t="s">
        <v>595</v>
      </c>
      <c r="N235" s="65" t="s">
        <v>595</v>
      </c>
      <c r="O235" s="65" t="s">
        <v>595</v>
      </c>
      <c r="P235" s="65" t="s">
        <v>595</v>
      </c>
      <c r="Q235" s="65" t="s">
        <v>595</v>
      </c>
      <c r="R235" s="65" t="s">
        <v>595</v>
      </c>
      <c r="S235" s="65" t="s">
        <v>595</v>
      </c>
      <c r="T235" s="36" t="s">
        <v>596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 s="6"/>
    </row>
    <row r="236" spans="1:156" s="1" customFormat="1">
      <c r="A236" s="36">
        <v>246</v>
      </c>
      <c r="B236" s="37" t="s">
        <v>673</v>
      </c>
      <c r="C236" s="38" t="s">
        <v>674</v>
      </c>
      <c r="D236" s="39" t="s">
        <v>594</v>
      </c>
      <c r="E236" s="40" t="s">
        <v>657</v>
      </c>
      <c r="F236" s="56">
        <f>MROUND(IF(TRIM(T236)="ATHE", D236*0.75, IF(TRIM(T236)="Focus Awards", D236*0.6, D236*0.7)) + 1, 10) - 1</f>
        <v>99</v>
      </c>
      <c r="G236" s="41">
        <f t="shared" si="27"/>
        <v>0.35971223021582732</v>
      </c>
      <c r="H236" s="53">
        <f t="shared" si="28"/>
        <v>0.28776978417266186</v>
      </c>
      <c r="I236" s="42" t="s">
        <v>595</v>
      </c>
      <c r="J236" s="42" t="s">
        <v>595</v>
      </c>
      <c r="K236" s="59" t="s">
        <v>595</v>
      </c>
      <c r="L236" s="62" t="s">
        <v>595</v>
      </c>
      <c r="M236" s="65" t="s">
        <v>595</v>
      </c>
      <c r="N236" s="65" t="s">
        <v>595</v>
      </c>
      <c r="O236" s="65" t="s">
        <v>595</v>
      </c>
      <c r="P236" s="65" t="s">
        <v>595</v>
      </c>
      <c r="Q236" s="65" t="s">
        <v>595</v>
      </c>
      <c r="R236" s="65" t="s">
        <v>595</v>
      </c>
      <c r="S236" s="65" t="s">
        <v>595</v>
      </c>
      <c r="T236" s="36" t="s">
        <v>596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 s="6"/>
    </row>
    <row r="237" spans="1:156" s="1" customFormat="1">
      <c r="A237" s="42">
        <v>247</v>
      </c>
      <c r="B237" s="37" t="s">
        <v>675</v>
      </c>
      <c r="C237" s="38" t="s">
        <v>676</v>
      </c>
      <c r="D237" s="39" t="s">
        <v>594</v>
      </c>
      <c r="E237" s="40" t="s">
        <v>657</v>
      </c>
      <c r="F237" s="56">
        <f>MROUND(IF(TRIM(T237)="ATHE", D237*0.75, IF(TRIM(T237)="Focus Awards", D237*0.6, D237*0.7)) + 1, 10) - 1</f>
        <v>99</v>
      </c>
      <c r="G237" s="41">
        <f t="shared" si="27"/>
        <v>0.35971223021582732</v>
      </c>
      <c r="H237" s="53">
        <f t="shared" si="28"/>
        <v>0.28776978417266186</v>
      </c>
      <c r="I237" s="42" t="s">
        <v>595</v>
      </c>
      <c r="J237" s="42" t="s">
        <v>595</v>
      </c>
      <c r="K237" s="59" t="s">
        <v>595</v>
      </c>
      <c r="L237" s="62" t="s">
        <v>595</v>
      </c>
      <c r="M237" s="65" t="s">
        <v>595</v>
      </c>
      <c r="N237" s="65" t="s">
        <v>595</v>
      </c>
      <c r="O237" s="65" t="s">
        <v>595</v>
      </c>
      <c r="P237" s="65" t="s">
        <v>595</v>
      </c>
      <c r="Q237" s="65" t="s">
        <v>595</v>
      </c>
      <c r="R237" s="65" t="s">
        <v>595</v>
      </c>
      <c r="S237" s="65" t="s">
        <v>595</v>
      </c>
      <c r="T237" s="36" t="s">
        <v>596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 s="6"/>
    </row>
    <row r="238" spans="1:156" s="1" customFormat="1" ht="29.45">
      <c r="A238" s="36">
        <v>248</v>
      </c>
      <c r="B238" s="37" t="s">
        <v>677</v>
      </c>
      <c r="C238" s="38" t="s">
        <v>678</v>
      </c>
      <c r="D238" s="39" t="s">
        <v>594</v>
      </c>
      <c r="E238" s="40" t="s">
        <v>657</v>
      </c>
      <c r="F238" s="56">
        <f>MROUND(IF(TRIM(T238)="ATHE", D238*0.75, IF(TRIM(T238)="Focus Awards", D238*0.6, D238*0.7)) + 1, 10) - 1</f>
        <v>99</v>
      </c>
      <c r="G238" s="41">
        <f t="shared" si="27"/>
        <v>0.35971223021582732</v>
      </c>
      <c r="H238" s="53">
        <f t="shared" si="28"/>
        <v>0.28776978417266186</v>
      </c>
      <c r="I238" s="42" t="s">
        <v>595</v>
      </c>
      <c r="J238" s="42" t="s">
        <v>595</v>
      </c>
      <c r="K238" s="59" t="s">
        <v>595</v>
      </c>
      <c r="L238" s="62" t="s">
        <v>595</v>
      </c>
      <c r="M238" s="65" t="s">
        <v>595</v>
      </c>
      <c r="N238" s="65" t="s">
        <v>595</v>
      </c>
      <c r="O238" s="65" t="s">
        <v>595</v>
      </c>
      <c r="P238" s="65" t="s">
        <v>595</v>
      </c>
      <c r="Q238" s="65" t="s">
        <v>595</v>
      </c>
      <c r="R238" s="65" t="s">
        <v>595</v>
      </c>
      <c r="S238" s="65" t="s">
        <v>595</v>
      </c>
      <c r="T238" s="36" t="s">
        <v>596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 s="6"/>
    </row>
    <row r="239" spans="1:156" s="1" customFormat="1" ht="29.45">
      <c r="A239" s="42">
        <v>249</v>
      </c>
      <c r="B239" s="37" t="s">
        <v>679</v>
      </c>
      <c r="C239" s="38" t="s">
        <v>680</v>
      </c>
      <c r="D239" s="39" t="s">
        <v>321</v>
      </c>
      <c r="E239" s="40" t="s">
        <v>642</v>
      </c>
      <c r="F239" s="56">
        <f>MROUND(IF(TRIM(T239)="ATHE", D239*0.75, IF(TRIM(T239)="Focus Awards", D239*0.6, D239*0.7)) + 1, 10) - 1</f>
        <v>169</v>
      </c>
      <c r="G239" s="41">
        <f t="shared" si="27"/>
        <v>0.37656903765690375</v>
      </c>
      <c r="H239" s="53">
        <f t="shared" si="28"/>
        <v>0.29288702928870292</v>
      </c>
      <c r="I239" s="42" t="s">
        <v>595</v>
      </c>
      <c r="J239" s="42" t="s">
        <v>595</v>
      </c>
      <c r="K239" s="59" t="s">
        <v>595</v>
      </c>
      <c r="L239" s="62" t="s">
        <v>595</v>
      </c>
      <c r="M239" s="65" t="s">
        <v>595</v>
      </c>
      <c r="N239" s="65" t="s">
        <v>595</v>
      </c>
      <c r="O239" s="65" t="s">
        <v>595</v>
      </c>
      <c r="P239" s="65" t="s">
        <v>595</v>
      </c>
      <c r="Q239" s="65" t="s">
        <v>595</v>
      </c>
      <c r="R239" s="65" t="s">
        <v>595</v>
      </c>
      <c r="S239" s="65" t="s">
        <v>595</v>
      </c>
      <c r="T239" s="36" t="s">
        <v>596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 s="6"/>
    </row>
    <row r="240" spans="1:156" s="1" customFormat="1" ht="29.45">
      <c r="A240" s="36">
        <v>250</v>
      </c>
      <c r="B240" s="37" t="s">
        <v>681</v>
      </c>
      <c r="C240" s="38" t="s">
        <v>682</v>
      </c>
      <c r="D240" s="39" t="s">
        <v>338</v>
      </c>
      <c r="E240" s="40" t="s">
        <v>660</v>
      </c>
      <c r="F240" s="56">
        <f>MROUND(IF(TRIM(T240)="ATHE", D240*0.75, IF(TRIM(T240)="Focus Awards", D240*0.6, D240*0.7)) + 1, 10) - 1</f>
        <v>129</v>
      </c>
      <c r="G240" s="41">
        <f t="shared" si="27"/>
        <v>0.37037037037037035</v>
      </c>
      <c r="H240" s="53">
        <f t="shared" si="28"/>
        <v>0.31746031746031744</v>
      </c>
      <c r="I240" s="42" t="s">
        <v>595</v>
      </c>
      <c r="J240" s="42" t="s">
        <v>595</v>
      </c>
      <c r="K240" s="59" t="s">
        <v>595</v>
      </c>
      <c r="L240" s="62" t="s">
        <v>595</v>
      </c>
      <c r="M240" s="65" t="s">
        <v>595</v>
      </c>
      <c r="N240" s="65" t="s">
        <v>595</v>
      </c>
      <c r="O240" s="65" t="s">
        <v>595</v>
      </c>
      <c r="P240" s="65" t="s">
        <v>595</v>
      </c>
      <c r="Q240" s="65" t="s">
        <v>595</v>
      </c>
      <c r="R240" s="65" t="s">
        <v>595</v>
      </c>
      <c r="S240" s="65" t="s">
        <v>595</v>
      </c>
      <c r="T240" s="36" t="s">
        <v>596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 s="6"/>
    </row>
    <row r="241" spans="1:156" s="1" customFormat="1">
      <c r="A241" s="42">
        <v>251</v>
      </c>
      <c r="B241" s="37" t="s">
        <v>683</v>
      </c>
      <c r="C241" s="38" t="s">
        <v>684</v>
      </c>
      <c r="D241" s="39" t="s">
        <v>594</v>
      </c>
      <c r="E241" s="40" t="s">
        <v>657</v>
      </c>
      <c r="F241" s="56">
        <f>MROUND(IF(TRIM(T241)="ATHE", D241*0.75, IF(TRIM(T241)="Focus Awards", D241*0.6, D241*0.7)) + 1, 10) - 1</f>
        <v>99</v>
      </c>
      <c r="G241" s="41">
        <f t="shared" si="27"/>
        <v>0.35971223021582732</v>
      </c>
      <c r="H241" s="53">
        <f t="shared" si="28"/>
        <v>0.28776978417266186</v>
      </c>
      <c r="I241" s="42" t="s">
        <v>595</v>
      </c>
      <c r="J241" s="42" t="s">
        <v>595</v>
      </c>
      <c r="K241" s="59" t="s">
        <v>595</v>
      </c>
      <c r="L241" s="62" t="s">
        <v>595</v>
      </c>
      <c r="M241" s="65" t="s">
        <v>595</v>
      </c>
      <c r="N241" s="65" t="s">
        <v>595</v>
      </c>
      <c r="O241" s="65" t="s">
        <v>595</v>
      </c>
      <c r="P241" s="65" t="s">
        <v>595</v>
      </c>
      <c r="Q241" s="65" t="s">
        <v>595</v>
      </c>
      <c r="R241" s="65" t="s">
        <v>595</v>
      </c>
      <c r="S241" s="65" t="s">
        <v>595</v>
      </c>
      <c r="T241" s="36" t="s">
        <v>596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 s="6"/>
    </row>
    <row r="242" spans="1:156" s="1" customFormat="1" ht="29.45">
      <c r="A242" s="36">
        <v>252</v>
      </c>
      <c r="B242" s="37" t="s">
        <v>685</v>
      </c>
      <c r="C242" s="38" t="s">
        <v>686</v>
      </c>
      <c r="D242" s="39" t="s">
        <v>323</v>
      </c>
      <c r="E242" s="40" t="s">
        <v>687</v>
      </c>
      <c r="F242" s="56">
        <f>MROUND(IF(TRIM(T242)="ATHE", D242*0.75, IF(TRIM(T242)="Focus Awards", D242*0.6, D242*0.7)) + 1, 10) - 1</f>
        <v>199</v>
      </c>
      <c r="G242" s="41">
        <f t="shared" si="27"/>
        <v>0.38062283737024216</v>
      </c>
      <c r="H242" s="53">
        <f t="shared" si="28"/>
        <v>0.31141868512110726</v>
      </c>
      <c r="I242" s="42" t="s">
        <v>595</v>
      </c>
      <c r="J242" s="42" t="s">
        <v>595</v>
      </c>
      <c r="K242" s="59" t="s">
        <v>595</v>
      </c>
      <c r="L242" s="62" t="s">
        <v>595</v>
      </c>
      <c r="M242" s="65" t="s">
        <v>595</v>
      </c>
      <c r="N242" s="65" t="s">
        <v>595</v>
      </c>
      <c r="O242" s="65" t="s">
        <v>595</v>
      </c>
      <c r="P242" s="65" t="s">
        <v>595</v>
      </c>
      <c r="Q242" s="65" t="s">
        <v>595</v>
      </c>
      <c r="R242" s="65" t="s">
        <v>595</v>
      </c>
      <c r="S242" s="65" t="s">
        <v>595</v>
      </c>
      <c r="T242" s="36" t="s">
        <v>596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 s="6"/>
    </row>
    <row r="243" spans="1:156" s="1" customFormat="1">
      <c r="A243" s="42">
        <v>253</v>
      </c>
      <c r="B243" s="37" t="s">
        <v>688</v>
      </c>
      <c r="C243" s="38" t="s">
        <v>689</v>
      </c>
      <c r="D243" s="39" t="s">
        <v>594</v>
      </c>
      <c r="E243" s="40" t="s">
        <v>657</v>
      </c>
      <c r="F243" s="56">
        <f>MROUND(IF(TRIM(T243)="ATHE", D243*0.75, IF(TRIM(T243)="Focus Awards", D243*0.6, D243*0.7)) + 1, 10) - 1</f>
        <v>99</v>
      </c>
      <c r="G243" s="41">
        <f t="shared" si="27"/>
        <v>0.35971223021582732</v>
      </c>
      <c r="H243" s="53">
        <f t="shared" si="28"/>
        <v>0.28776978417266186</v>
      </c>
      <c r="I243" s="42" t="s">
        <v>595</v>
      </c>
      <c r="J243" s="42" t="s">
        <v>595</v>
      </c>
      <c r="K243" s="59" t="s">
        <v>595</v>
      </c>
      <c r="L243" s="62" t="s">
        <v>595</v>
      </c>
      <c r="M243" s="65" t="s">
        <v>595</v>
      </c>
      <c r="N243" s="65" t="s">
        <v>595</v>
      </c>
      <c r="O243" s="65" t="s">
        <v>595</v>
      </c>
      <c r="P243" s="65" t="s">
        <v>595</v>
      </c>
      <c r="Q243" s="65" t="s">
        <v>595</v>
      </c>
      <c r="R243" s="65" t="s">
        <v>595</v>
      </c>
      <c r="S243" s="65" t="s">
        <v>595</v>
      </c>
      <c r="T243" s="36" t="s">
        <v>596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 s="6"/>
    </row>
    <row r="244" spans="1:156" s="1" customFormat="1" ht="29.45">
      <c r="A244" s="36">
        <v>254</v>
      </c>
      <c r="B244" s="37" t="s">
        <v>690</v>
      </c>
      <c r="C244" s="38" t="s">
        <v>691</v>
      </c>
      <c r="D244" s="39" t="s">
        <v>594</v>
      </c>
      <c r="E244" s="40" t="s">
        <v>657</v>
      </c>
      <c r="F244" s="56">
        <f>MROUND(IF(TRIM(T244)="ATHE", D244*0.75, IF(TRIM(T244)="Focus Awards", D244*0.6, D244*0.7)) + 1, 10) - 1</f>
        <v>99</v>
      </c>
      <c r="G244" s="41">
        <f t="shared" si="27"/>
        <v>0.35971223021582732</v>
      </c>
      <c r="H244" s="53">
        <f t="shared" si="28"/>
        <v>0.28776978417266186</v>
      </c>
      <c r="I244" s="42" t="s">
        <v>595</v>
      </c>
      <c r="J244" s="42" t="s">
        <v>595</v>
      </c>
      <c r="K244" s="59" t="s">
        <v>595</v>
      </c>
      <c r="L244" s="62" t="s">
        <v>595</v>
      </c>
      <c r="M244" s="65" t="s">
        <v>595</v>
      </c>
      <c r="N244" s="65" t="s">
        <v>595</v>
      </c>
      <c r="O244" s="65" t="s">
        <v>595</v>
      </c>
      <c r="P244" s="65" t="s">
        <v>595</v>
      </c>
      <c r="Q244" s="65" t="s">
        <v>595</v>
      </c>
      <c r="R244" s="65" t="s">
        <v>595</v>
      </c>
      <c r="S244" s="65" t="s">
        <v>595</v>
      </c>
      <c r="T244" s="36" t="s">
        <v>596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 s="6"/>
    </row>
    <row r="245" spans="1:156" s="1" customFormat="1" ht="29.45">
      <c r="A245" s="42">
        <v>255</v>
      </c>
      <c r="B245" s="37" t="s">
        <v>692</v>
      </c>
      <c r="C245" s="38" t="s">
        <v>693</v>
      </c>
      <c r="D245" s="39" t="s">
        <v>594</v>
      </c>
      <c r="E245" s="40" t="s">
        <v>657</v>
      </c>
      <c r="F245" s="56">
        <f>MROUND(IF(TRIM(T245)="ATHE", D245*0.75, IF(TRIM(T245)="Focus Awards", D245*0.6, D245*0.7)) + 1, 10) - 1</f>
        <v>99</v>
      </c>
      <c r="G245" s="41">
        <f t="shared" si="27"/>
        <v>0.35971223021582732</v>
      </c>
      <c r="H245" s="53">
        <f t="shared" si="28"/>
        <v>0.28776978417266186</v>
      </c>
      <c r="I245" s="42" t="s">
        <v>595</v>
      </c>
      <c r="J245" s="42" t="s">
        <v>595</v>
      </c>
      <c r="K245" s="59" t="s">
        <v>595</v>
      </c>
      <c r="L245" s="62" t="s">
        <v>595</v>
      </c>
      <c r="M245" s="65" t="s">
        <v>595</v>
      </c>
      <c r="N245" s="65" t="s">
        <v>595</v>
      </c>
      <c r="O245" s="65" t="s">
        <v>595</v>
      </c>
      <c r="P245" s="65" t="s">
        <v>595</v>
      </c>
      <c r="Q245" s="65" t="s">
        <v>595</v>
      </c>
      <c r="R245" s="65" t="s">
        <v>595</v>
      </c>
      <c r="S245" s="65" t="s">
        <v>595</v>
      </c>
      <c r="T245" s="36" t="s">
        <v>596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 s="6"/>
    </row>
    <row r="246" spans="1:156" s="1" customFormat="1" ht="29.45">
      <c r="A246" s="36">
        <v>256</v>
      </c>
      <c r="B246" s="37" t="s">
        <v>694</v>
      </c>
      <c r="C246" s="38" t="s">
        <v>695</v>
      </c>
      <c r="D246" s="39" t="s">
        <v>594</v>
      </c>
      <c r="E246" s="40" t="s">
        <v>657</v>
      </c>
      <c r="F246" s="56">
        <f>MROUND(IF(TRIM(T246)="ATHE", D246*0.75, IF(TRIM(T246)="Focus Awards", D246*0.6, D246*0.7)) + 1, 10) - 1</f>
        <v>99</v>
      </c>
      <c r="G246" s="41">
        <f t="shared" si="27"/>
        <v>0.35971223021582732</v>
      </c>
      <c r="H246" s="53">
        <f t="shared" si="28"/>
        <v>0.28776978417266186</v>
      </c>
      <c r="I246" s="42" t="s">
        <v>595</v>
      </c>
      <c r="J246" s="42" t="s">
        <v>595</v>
      </c>
      <c r="K246" s="59" t="s">
        <v>595</v>
      </c>
      <c r="L246" s="62" t="s">
        <v>595</v>
      </c>
      <c r="M246" s="65" t="s">
        <v>595</v>
      </c>
      <c r="N246" s="65" t="s">
        <v>595</v>
      </c>
      <c r="O246" s="65" t="s">
        <v>595</v>
      </c>
      <c r="P246" s="65" t="s">
        <v>595</v>
      </c>
      <c r="Q246" s="65" t="s">
        <v>595</v>
      </c>
      <c r="R246" s="65" t="s">
        <v>595</v>
      </c>
      <c r="S246" s="65" t="s">
        <v>595</v>
      </c>
      <c r="T246" s="36" t="s">
        <v>596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 s="6"/>
    </row>
    <row r="247" spans="1:156" s="1" customFormat="1">
      <c r="A247" s="42">
        <v>257</v>
      </c>
      <c r="B247" s="37" t="s">
        <v>696</v>
      </c>
      <c r="C247" s="38" t="s">
        <v>697</v>
      </c>
      <c r="D247" s="39" t="s">
        <v>594</v>
      </c>
      <c r="E247" s="40" t="s">
        <v>657</v>
      </c>
      <c r="F247" s="56">
        <f>MROUND(IF(TRIM(T247)="ATHE", D247*0.75, IF(TRIM(T247)="Focus Awards", D247*0.6, D247*0.7)) + 1, 10) - 1</f>
        <v>99</v>
      </c>
      <c r="G247" s="41">
        <f t="shared" si="27"/>
        <v>0.35971223021582732</v>
      </c>
      <c r="H247" s="53">
        <f t="shared" si="28"/>
        <v>0.28776978417266186</v>
      </c>
      <c r="I247" s="42" t="s">
        <v>595</v>
      </c>
      <c r="J247" s="42" t="s">
        <v>595</v>
      </c>
      <c r="K247" s="59" t="s">
        <v>595</v>
      </c>
      <c r="L247" s="62" t="s">
        <v>595</v>
      </c>
      <c r="M247" s="65" t="s">
        <v>595</v>
      </c>
      <c r="N247" s="65" t="s">
        <v>595</v>
      </c>
      <c r="O247" s="65" t="s">
        <v>595</v>
      </c>
      <c r="P247" s="65" t="s">
        <v>595</v>
      </c>
      <c r="Q247" s="65" t="s">
        <v>595</v>
      </c>
      <c r="R247" s="65" t="s">
        <v>595</v>
      </c>
      <c r="S247" s="65" t="s">
        <v>595</v>
      </c>
      <c r="T247" s="36" t="s">
        <v>596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 s="6"/>
    </row>
    <row r="248" spans="1:156" s="1" customFormat="1">
      <c r="A248" s="36">
        <v>258</v>
      </c>
      <c r="B248" s="37" t="s">
        <v>698</v>
      </c>
      <c r="C248" s="38" t="s">
        <v>699</v>
      </c>
      <c r="D248" s="39" t="s">
        <v>594</v>
      </c>
      <c r="E248" s="40" t="s">
        <v>657</v>
      </c>
      <c r="F248" s="56">
        <f>MROUND(IF(TRIM(T248)="ATHE", D248*0.75, IF(TRIM(T248)="Focus Awards", D248*0.6, D248*0.7)) + 1, 10) - 1</f>
        <v>99</v>
      </c>
      <c r="G248" s="41">
        <f t="shared" si="27"/>
        <v>0.35971223021582732</v>
      </c>
      <c r="H248" s="53">
        <f t="shared" si="28"/>
        <v>0.28776978417266186</v>
      </c>
      <c r="I248" s="42" t="s">
        <v>595</v>
      </c>
      <c r="J248" s="42" t="s">
        <v>595</v>
      </c>
      <c r="K248" s="59" t="s">
        <v>595</v>
      </c>
      <c r="L248" s="62" t="s">
        <v>595</v>
      </c>
      <c r="M248" s="65" t="s">
        <v>595</v>
      </c>
      <c r="N248" s="65" t="s">
        <v>595</v>
      </c>
      <c r="O248" s="65" t="s">
        <v>595</v>
      </c>
      <c r="P248" s="65" t="s">
        <v>595</v>
      </c>
      <c r="Q248" s="65" t="s">
        <v>595</v>
      </c>
      <c r="R248" s="65" t="s">
        <v>595</v>
      </c>
      <c r="S248" s="65" t="s">
        <v>595</v>
      </c>
      <c r="T248" s="36" t="s">
        <v>596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 s="6"/>
    </row>
    <row r="249" spans="1:156" s="1" customFormat="1">
      <c r="A249" s="42">
        <v>259</v>
      </c>
      <c r="B249" s="37" t="s">
        <v>700</v>
      </c>
      <c r="C249" s="38" t="s">
        <v>701</v>
      </c>
      <c r="D249" s="39" t="s">
        <v>594</v>
      </c>
      <c r="E249" s="40" t="s">
        <v>657</v>
      </c>
      <c r="F249" s="56">
        <f>MROUND(IF(TRIM(T249)="ATHE", D249*0.75, IF(TRIM(T249)="Focus Awards", D249*0.6, D249*0.7)) + 1, 10) - 1</f>
        <v>99</v>
      </c>
      <c r="G249" s="41">
        <f t="shared" si="27"/>
        <v>0.35971223021582732</v>
      </c>
      <c r="H249" s="53">
        <f t="shared" si="28"/>
        <v>0.28776978417266186</v>
      </c>
      <c r="I249" s="42" t="s">
        <v>595</v>
      </c>
      <c r="J249" s="42" t="s">
        <v>595</v>
      </c>
      <c r="K249" s="59" t="s">
        <v>595</v>
      </c>
      <c r="L249" s="62" t="s">
        <v>595</v>
      </c>
      <c r="M249" s="65" t="s">
        <v>595</v>
      </c>
      <c r="N249" s="65" t="s">
        <v>595</v>
      </c>
      <c r="O249" s="65" t="s">
        <v>595</v>
      </c>
      <c r="P249" s="65" t="s">
        <v>595</v>
      </c>
      <c r="Q249" s="65" t="s">
        <v>595</v>
      </c>
      <c r="R249" s="65" t="s">
        <v>595</v>
      </c>
      <c r="S249" s="65" t="s">
        <v>595</v>
      </c>
      <c r="T249" s="36" t="s">
        <v>596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 s="6"/>
    </row>
    <row r="250" spans="1:156" s="1" customFormat="1">
      <c r="A250" s="36">
        <v>260</v>
      </c>
      <c r="B250" s="37" t="s">
        <v>702</v>
      </c>
      <c r="C250" s="38" t="s">
        <v>703</v>
      </c>
      <c r="D250" s="39" t="s">
        <v>338</v>
      </c>
      <c r="E250" s="40" t="s">
        <v>660</v>
      </c>
      <c r="F250" s="56">
        <f>MROUND(IF(TRIM(T250)="ATHE", D250*0.75, IF(TRIM(T250)="Focus Awards", D250*0.6, D250*0.7)) + 1, 10) - 1</f>
        <v>129</v>
      </c>
      <c r="G250" s="41">
        <f t="shared" si="27"/>
        <v>0.37037037037037035</v>
      </c>
      <c r="H250" s="53">
        <f t="shared" si="28"/>
        <v>0.31746031746031744</v>
      </c>
      <c r="I250" s="42" t="s">
        <v>595</v>
      </c>
      <c r="J250" s="42" t="s">
        <v>595</v>
      </c>
      <c r="K250" s="59" t="s">
        <v>595</v>
      </c>
      <c r="L250" s="62" t="s">
        <v>595</v>
      </c>
      <c r="M250" s="65" t="s">
        <v>595</v>
      </c>
      <c r="N250" s="65" t="s">
        <v>595</v>
      </c>
      <c r="O250" s="65" t="s">
        <v>595</v>
      </c>
      <c r="P250" s="65" t="s">
        <v>595</v>
      </c>
      <c r="Q250" s="65" t="s">
        <v>595</v>
      </c>
      <c r="R250" s="65" t="s">
        <v>595</v>
      </c>
      <c r="S250" s="65" t="s">
        <v>595</v>
      </c>
      <c r="T250" s="36" t="s">
        <v>596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 s="6"/>
    </row>
    <row r="251" spans="1:156" s="1" customFormat="1" ht="29.45">
      <c r="A251" s="42">
        <v>261</v>
      </c>
      <c r="B251" s="37" t="s">
        <v>704</v>
      </c>
      <c r="C251" s="38" t="s">
        <v>705</v>
      </c>
      <c r="D251" s="39" t="s">
        <v>321</v>
      </c>
      <c r="E251" s="40" t="s">
        <v>642</v>
      </c>
      <c r="F251" s="56">
        <f>MROUND(IF(TRIM(T251)="ATHE", D251*0.75, IF(TRIM(T251)="Focus Awards", D251*0.6, D251*0.7)) + 1, 10) - 1</f>
        <v>169</v>
      </c>
      <c r="G251" s="41">
        <f t="shared" si="27"/>
        <v>0.37656903765690375</v>
      </c>
      <c r="H251" s="53">
        <f t="shared" si="28"/>
        <v>0.29288702928870292</v>
      </c>
      <c r="I251" s="42" t="s">
        <v>595</v>
      </c>
      <c r="J251" s="42" t="s">
        <v>595</v>
      </c>
      <c r="K251" s="59" t="s">
        <v>595</v>
      </c>
      <c r="L251" s="62" t="s">
        <v>595</v>
      </c>
      <c r="M251" s="65" t="s">
        <v>595</v>
      </c>
      <c r="N251" s="65" t="s">
        <v>595</v>
      </c>
      <c r="O251" s="65" t="s">
        <v>595</v>
      </c>
      <c r="P251" s="65" t="s">
        <v>595</v>
      </c>
      <c r="Q251" s="65" t="s">
        <v>595</v>
      </c>
      <c r="R251" s="65" t="s">
        <v>595</v>
      </c>
      <c r="S251" s="65" t="s">
        <v>595</v>
      </c>
      <c r="T251" s="36" t="s">
        <v>596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 s="6"/>
    </row>
    <row r="252" spans="1:156" s="1" customFormat="1">
      <c r="A252" s="36">
        <v>262</v>
      </c>
      <c r="B252" s="37" t="s">
        <v>706</v>
      </c>
      <c r="C252" s="38" t="s">
        <v>707</v>
      </c>
      <c r="D252" s="39" t="s">
        <v>594</v>
      </c>
      <c r="E252" s="40" t="s">
        <v>657</v>
      </c>
      <c r="F252" s="56">
        <f>MROUND(IF(TRIM(T252)="ATHE", D252*0.75, IF(TRIM(T252)="Focus Awards", D252*0.6, D252*0.7)) + 1, 10) - 1</f>
        <v>99</v>
      </c>
      <c r="G252" s="41">
        <f t="shared" si="27"/>
        <v>0.35971223021582732</v>
      </c>
      <c r="H252" s="53">
        <f t="shared" si="28"/>
        <v>0.28776978417266186</v>
      </c>
      <c r="I252" s="42" t="s">
        <v>595</v>
      </c>
      <c r="J252" s="42" t="s">
        <v>595</v>
      </c>
      <c r="K252" s="59" t="s">
        <v>595</v>
      </c>
      <c r="L252" s="62" t="s">
        <v>595</v>
      </c>
      <c r="M252" s="65" t="s">
        <v>595</v>
      </c>
      <c r="N252" s="65" t="s">
        <v>595</v>
      </c>
      <c r="O252" s="65" t="s">
        <v>595</v>
      </c>
      <c r="P252" s="65" t="s">
        <v>595</v>
      </c>
      <c r="Q252" s="65" t="s">
        <v>595</v>
      </c>
      <c r="R252" s="65" t="s">
        <v>595</v>
      </c>
      <c r="S252" s="65" t="s">
        <v>595</v>
      </c>
      <c r="T252" s="36" t="s">
        <v>596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 s="6"/>
    </row>
    <row r="253" spans="1:156" s="1" customFormat="1">
      <c r="A253" s="42">
        <v>263</v>
      </c>
      <c r="B253" s="37" t="s">
        <v>708</v>
      </c>
      <c r="C253" s="38" t="s">
        <v>709</v>
      </c>
      <c r="D253" s="39" t="s">
        <v>594</v>
      </c>
      <c r="E253" s="40" t="s">
        <v>657</v>
      </c>
      <c r="F253" s="56">
        <f>MROUND(IF(TRIM(T253)="ATHE", D253*0.75, IF(TRIM(T253)="Focus Awards", D253*0.6, D253*0.7)) + 1, 10) - 1</f>
        <v>99</v>
      </c>
      <c r="G253" s="41">
        <f t="shared" si="27"/>
        <v>0.35971223021582732</v>
      </c>
      <c r="H253" s="53">
        <f t="shared" si="28"/>
        <v>0.28776978417266186</v>
      </c>
      <c r="I253" s="42" t="s">
        <v>595</v>
      </c>
      <c r="J253" s="42" t="s">
        <v>595</v>
      </c>
      <c r="K253" s="59" t="s">
        <v>595</v>
      </c>
      <c r="L253" s="62" t="s">
        <v>595</v>
      </c>
      <c r="M253" s="65" t="s">
        <v>595</v>
      </c>
      <c r="N253" s="65" t="s">
        <v>595</v>
      </c>
      <c r="O253" s="65" t="s">
        <v>595</v>
      </c>
      <c r="P253" s="65" t="s">
        <v>595</v>
      </c>
      <c r="Q253" s="65" t="s">
        <v>595</v>
      </c>
      <c r="R253" s="65" t="s">
        <v>595</v>
      </c>
      <c r="S253" s="65" t="s">
        <v>595</v>
      </c>
      <c r="T253" s="36" t="s">
        <v>596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 s="6"/>
    </row>
    <row r="254" spans="1:156" s="1" customFormat="1" ht="29.45">
      <c r="A254" s="36">
        <v>264</v>
      </c>
      <c r="B254" s="37" t="s">
        <v>710</v>
      </c>
      <c r="C254" s="38" t="s">
        <v>711</v>
      </c>
      <c r="D254" s="39" t="s">
        <v>594</v>
      </c>
      <c r="E254" s="40" t="s">
        <v>657</v>
      </c>
      <c r="F254" s="56">
        <f>MROUND(IF(TRIM(T254)="ATHE", D254*0.75, IF(TRIM(T254)="Focus Awards", D254*0.6, D254*0.7)) + 1, 10) - 1</f>
        <v>99</v>
      </c>
      <c r="G254" s="41">
        <f t="shared" si="27"/>
        <v>0.35971223021582732</v>
      </c>
      <c r="H254" s="53">
        <f t="shared" si="28"/>
        <v>0.28776978417266186</v>
      </c>
      <c r="I254" s="42" t="s">
        <v>595</v>
      </c>
      <c r="J254" s="42" t="s">
        <v>595</v>
      </c>
      <c r="K254" s="59" t="s">
        <v>595</v>
      </c>
      <c r="L254" s="62" t="s">
        <v>595</v>
      </c>
      <c r="M254" s="65" t="s">
        <v>595</v>
      </c>
      <c r="N254" s="65" t="s">
        <v>595</v>
      </c>
      <c r="O254" s="65" t="s">
        <v>595</v>
      </c>
      <c r="P254" s="65" t="s">
        <v>595</v>
      </c>
      <c r="Q254" s="65" t="s">
        <v>595</v>
      </c>
      <c r="R254" s="65" t="s">
        <v>595</v>
      </c>
      <c r="S254" s="65" t="s">
        <v>595</v>
      </c>
      <c r="T254" s="36" t="s">
        <v>596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 s="6"/>
    </row>
    <row r="255" spans="1:156" s="1" customFormat="1">
      <c r="A255" s="42">
        <v>265</v>
      </c>
      <c r="B255" s="37" t="s">
        <v>712</v>
      </c>
      <c r="C255" s="38" t="s">
        <v>713</v>
      </c>
      <c r="D255" s="39" t="s">
        <v>338</v>
      </c>
      <c r="E255" s="40" t="s">
        <v>660</v>
      </c>
      <c r="F255" s="56">
        <f>MROUND(IF(TRIM(T255)="ATHE", D255*0.75, IF(TRIM(T255)="Focus Awards", D255*0.6, D255*0.7)) + 1, 10) - 1</f>
        <v>129</v>
      </c>
      <c r="G255" s="41">
        <f t="shared" si="27"/>
        <v>0.37037037037037035</v>
      </c>
      <c r="H255" s="53">
        <f t="shared" si="28"/>
        <v>0.31746031746031744</v>
      </c>
      <c r="I255" s="42" t="s">
        <v>595</v>
      </c>
      <c r="J255" s="42" t="s">
        <v>595</v>
      </c>
      <c r="K255" s="59" t="s">
        <v>595</v>
      </c>
      <c r="L255" s="62" t="s">
        <v>595</v>
      </c>
      <c r="M255" s="65" t="s">
        <v>595</v>
      </c>
      <c r="N255" s="65" t="s">
        <v>595</v>
      </c>
      <c r="O255" s="65" t="s">
        <v>595</v>
      </c>
      <c r="P255" s="65" t="s">
        <v>595</v>
      </c>
      <c r="Q255" s="65" t="s">
        <v>595</v>
      </c>
      <c r="R255" s="65" t="s">
        <v>595</v>
      </c>
      <c r="S255" s="65" t="s">
        <v>595</v>
      </c>
      <c r="T255" s="36" t="s">
        <v>596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 s="6"/>
    </row>
    <row r="256" spans="1:156" s="1" customFormat="1">
      <c r="A256" s="36">
        <v>266</v>
      </c>
      <c r="B256" s="37" t="s">
        <v>714</v>
      </c>
      <c r="C256" s="38" t="s">
        <v>715</v>
      </c>
      <c r="D256" s="39" t="s">
        <v>338</v>
      </c>
      <c r="E256" s="40" t="s">
        <v>660</v>
      </c>
      <c r="F256" s="56">
        <f>MROUND(IF(TRIM(T256)="ATHE", D256*0.75, IF(TRIM(T256)="Focus Awards", D256*0.6, D256*0.7)) + 1, 10) - 1</f>
        <v>129</v>
      </c>
      <c r="G256" s="41">
        <f t="shared" si="27"/>
        <v>0.37037037037037035</v>
      </c>
      <c r="H256" s="53">
        <f t="shared" si="28"/>
        <v>0.31746031746031744</v>
      </c>
      <c r="I256" s="42" t="s">
        <v>595</v>
      </c>
      <c r="J256" s="42" t="s">
        <v>595</v>
      </c>
      <c r="K256" s="59" t="s">
        <v>595</v>
      </c>
      <c r="L256" s="62" t="s">
        <v>595</v>
      </c>
      <c r="M256" s="65" t="s">
        <v>595</v>
      </c>
      <c r="N256" s="65" t="s">
        <v>595</v>
      </c>
      <c r="O256" s="65" t="s">
        <v>595</v>
      </c>
      <c r="P256" s="65" t="s">
        <v>595</v>
      </c>
      <c r="Q256" s="65" t="s">
        <v>595</v>
      </c>
      <c r="R256" s="65" t="s">
        <v>595</v>
      </c>
      <c r="S256" s="65" t="s">
        <v>595</v>
      </c>
      <c r="T256" s="36" t="s">
        <v>596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 s="6"/>
    </row>
    <row r="257" spans="1:156" s="1" customFormat="1" ht="20.25" customHeight="1">
      <c r="A257" s="42">
        <v>267</v>
      </c>
      <c r="B257" s="37" t="s">
        <v>716</v>
      </c>
      <c r="C257" s="38" t="s">
        <v>717</v>
      </c>
      <c r="D257" s="39" t="s">
        <v>651</v>
      </c>
      <c r="E257" s="40" t="s">
        <v>652</v>
      </c>
      <c r="F257" s="56">
        <f>MROUND(IF(TRIM(T257)="ATHE", D257*0.75, IF(TRIM(T257)="Focus Awards", D257*0.6, D257*0.7)) + 1, 10) - 1</f>
        <v>239</v>
      </c>
      <c r="G257" s="41">
        <f t="shared" si="27"/>
        <v>0.38348082595870203</v>
      </c>
      <c r="H257" s="53">
        <f t="shared" si="28"/>
        <v>0.29498525073746318</v>
      </c>
      <c r="I257" s="42" t="s">
        <v>595</v>
      </c>
      <c r="J257" s="42" t="s">
        <v>595</v>
      </c>
      <c r="K257" s="59" t="s">
        <v>595</v>
      </c>
      <c r="L257" s="62" t="s">
        <v>595</v>
      </c>
      <c r="M257" s="65" t="s">
        <v>595</v>
      </c>
      <c r="N257" s="65" t="s">
        <v>595</v>
      </c>
      <c r="O257" s="65" t="s">
        <v>595</v>
      </c>
      <c r="P257" s="65" t="s">
        <v>595</v>
      </c>
      <c r="Q257" s="65" t="s">
        <v>595</v>
      </c>
      <c r="R257" s="65" t="s">
        <v>595</v>
      </c>
      <c r="S257" s="65" t="s">
        <v>595</v>
      </c>
      <c r="T257" s="36" t="s">
        <v>596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 s="6"/>
    </row>
    <row r="258" spans="1:156" s="2" customFormat="1" ht="29.45">
      <c r="A258" s="36">
        <v>268</v>
      </c>
      <c r="B258" s="37" t="s">
        <v>718</v>
      </c>
      <c r="C258" s="38" t="s">
        <v>719</v>
      </c>
      <c r="D258" s="39" t="s">
        <v>338</v>
      </c>
      <c r="E258" s="40" t="s">
        <v>660</v>
      </c>
      <c r="F258" s="56">
        <f>MROUND(IF(TRIM(T258)="ATHE", D258*0.75, IF(TRIM(T258)="Focus Awards", D258*0.6, D258*0.7)) + 1, 10) - 1</f>
        <v>129</v>
      </c>
      <c r="G258" s="41">
        <f t="shared" si="27"/>
        <v>0.37037037037037035</v>
      </c>
      <c r="H258" s="53">
        <f t="shared" si="28"/>
        <v>0.31746031746031744</v>
      </c>
      <c r="I258" s="42" t="s">
        <v>595</v>
      </c>
      <c r="J258" s="42" t="s">
        <v>595</v>
      </c>
      <c r="K258" s="59" t="s">
        <v>595</v>
      </c>
      <c r="L258" s="62" t="s">
        <v>595</v>
      </c>
      <c r="M258" s="65" t="s">
        <v>595</v>
      </c>
      <c r="N258" s="65" t="s">
        <v>595</v>
      </c>
      <c r="O258" s="65" t="s">
        <v>595</v>
      </c>
      <c r="P258" s="65" t="s">
        <v>595</v>
      </c>
      <c r="Q258" s="65" t="s">
        <v>595</v>
      </c>
      <c r="R258" s="65" t="s">
        <v>595</v>
      </c>
      <c r="S258" s="65" t="s">
        <v>595</v>
      </c>
      <c r="T258" s="36" t="s">
        <v>596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 s="9"/>
    </row>
    <row r="259" spans="1:156" s="1" customFormat="1" ht="29.45">
      <c r="A259" s="42">
        <v>269</v>
      </c>
      <c r="B259" s="37" t="s">
        <v>720</v>
      </c>
      <c r="C259" s="38" t="s">
        <v>721</v>
      </c>
      <c r="D259" s="39" t="s">
        <v>338</v>
      </c>
      <c r="E259" s="40" t="s">
        <v>660</v>
      </c>
      <c r="F259" s="56">
        <f>MROUND(IF(TRIM(T259)="ATHE", D259*0.75, IF(TRIM(T259)="Focus Awards", D259*0.6, D259*0.7)) + 1, 10) - 1</f>
        <v>129</v>
      </c>
      <c r="G259" s="41">
        <f t="shared" ref="G259:G309" si="36">1-E259/D259</f>
        <v>0.37037037037037035</v>
      </c>
      <c r="H259" s="53">
        <f t="shared" ref="H259:H309" si="37">1-F259/D259</f>
        <v>0.31746031746031744</v>
      </c>
      <c r="I259" s="42" t="s">
        <v>595</v>
      </c>
      <c r="J259" s="42" t="s">
        <v>595</v>
      </c>
      <c r="K259" s="59" t="s">
        <v>595</v>
      </c>
      <c r="L259" s="62" t="s">
        <v>595</v>
      </c>
      <c r="M259" s="65" t="s">
        <v>595</v>
      </c>
      <c r="N259" s="65" t="s">
        <v>595</v>
      </c>
      <c r="O259" s="65" t="s">
        <v>595</v>
      </c>
      <c r="P259" s="65" t="s">
        <v>595</v>
      </c>
      <c r="Q259" s="65" t="s">
        <v>595</v>
      </c>
      <c r="R259" s="65" t="s">
        <v>595</v>
      </c>
      <c r="S259" s="65" t="s">
        <v>595</v>
      </c>
      <c r="T259" s="36" t="s">
        <v>596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 s="6"/>
    </row>
    <row r="260" spans="1:156" s="1" customFormat="1" ht="29.45">
      <c r="A260" s="36">
        <v>270</v>
      </c>
      <c r="B260" s="37" t="s">
        <v>722</v>
      </c>
      <c r="C260" s="38" t="s">
        <v>723</v>
      </c>
      <c r="D260" s="39" t="s">
        <v>338</v>
      </c>
      <c r="E260" s="40" t="s">
        <v>660</v>
      </c>
      <c r="F260" s="56">
        <f>MROUND(IF(TRIM(T260)="ATHE", D260*0.75, IF(TRIM(T260)="Focus Awards", D260*0.6, D260*0.7)) + 1, 10) - 1</f>
        <v>129</v>
      </c>
      <c r="G260" s="41">
        <f t="shared" si="36"/>
        <v>0.37037037037037035</v>
      </c>
      <c r="H260" s="53">
        <f t="shared" si="37"/>
        <v>0.31746031746031744</v>
      </c>
      <c r="I260" s="42" t="s">
        <v>595</v>
      </c>
      <c r="J260" s="42" t="s">
        <v>595</v>
      </c>
      <c r="K260" s="59" t="s">
        <v>595</v>
      </c>
      <c r="L260" s="62" t="s">
        <v>595</v>
      </c>
      <c r="M260" s="65" t="s">
        <v>595</v>
      </c>
      <c r="N260" s="65" t="s">
        <v>595</v>
      </c>
      <c r="O260" s="65" t="s">
        <v>595</v>
      </c>
      <c r="P260" s="65" t="s">
        <v>595</v>
      </c>
      <c r="Q260" s="65" t="s">
        <v>595</v>
      </c>
      <c r="R260" s="65" t="s">
        <v>595</v>
      </c>
      <c r="S260" s="65" t="s">
        <v>595</v>
      </c>
      <c r="T260" s="36" t="s">
        <v>596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 s="6"/>
    </row>
    <row r="261" spans="1:156" s="1" customFormat="1" ht="29.45">
      <c r="A261" s="42">
        <v>271</v>
      </c>
      <c r="B261" s="37" t="s">
        <v>724</v>
      </c>
      <c r="C261" s="38" t="s">
        <v>725</v>
      </c>
      <c r="D261" s="39" t="s">
        <v>338</v>
      </c>
      <c r="E261" s="40" t="s">
        <v>660</v>
      </c>
      <c r="F261" s="56">
        <f>MROUND(IF(TRIM(T261)="ATHE", D261*0.75, IF(TRIM(T261)="Focus Awards", D261*0.6, D261*0.7)) + 1, 10) - 1</f>
        <v>129</v>
      </c>
      <c r="G261" s="41">
        <f t="shared" si="36"/>
        <v>0.37037037037037035</v>
      </c>
      <c r="H261" s="53">
        <f t="shared" si="37"/>
        <v>0.31746031746031744</v>
      </c>
      <c r="I261" s="42" t="s">
        <v>595</v>
      </c>
      <c r="J261" s="42" t="s">
        <v>595</v>
      </c>
      <c r="K261" s="59" t="s">
        <v>595</v>
      </c>
      <c r="L261" s="62" t="s">
        <v>595</v>
      </c>
      <c r="M261" s="65" t="s">
        <v>595</v>
      </c>
      <c r="N261" s="65" t="s">
        <v>595</v>
      </c>
      <c r="O261" s="65" t="s">
        <v>595</v>
      </c>
      <c r="P261" s="65" t="s">
        <v>595</v>
      </c>
      <c r="Q261" s="65" t="s">
        <v>595</v>
      </c>
      <c r="R261" s="65" t="s">
        <v>595</v>
      </c>
      <c r="S261" s="65" t="s">
        <v>595</v>
      </c>
      <c r="T261" s="36" t="s">
        <v>596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 s="6"/>
    </row>
    <row r="262" spans="1:156" s="1" customFormat="1" ht="29.45">
      <c r="A262" s="36">
        <v>272</v>
      </c>
      <c r="B262" s="37" t="s">
        <v>726</v>
      </c>
      <c r="C262" s="38" t="s">
        <v>727</v>
      </c>
      <c r="D262" s="39" t="s">
        <v>338</v>
      </c>
      <c r="E262" s="40" t="s">
        <v>660</v>
      </c>
      <c r="F262" s="56">
        <f>MROUND(IF(TRIM(T262)="ATHE", D262*0.75, IF(TRIM(T262)="Focus Awards", D262*0.6, D262*0.7)) + 1, 10) - 1</f>
        <v>129</v>
      </c>
      <c r="G262" s="41">
        <f t="shared" si="36"/>
        <v>0.37037037037037035</v>
      </c>
      <c r="H262" s="53">
        <f t="shared" si="37"/>
        <v>0.31746031746031744</v>
      </c>
      <c r="I262" s="42" t="s">
        <v>595</v>
      </c>
      <c r="J262" s="42" t="s">
        <v>595</v>
      </c>
      <c r="K262" s="59" t="s">
        <v>595</v>
      </c>
      <c r="L262" s="62" t="s">
        <v>595</v>
      </c>
      <c r="M262" s="65" t="s">
        <v>595</v>
      </c>
      <c r="N262" s="65" t="s">
        <v>595</v>
      </c>
      <c r="O262" s="65" t="s">
        <v>595</v>
      </c>
      <c r="P262" s="65" t="s">
        <v>595</v>
      </c>
      <c r="Q262" s="65" t="s">
        <v>595</v>
      </c>
      <c r="R262" s="65" t="s">
        <v>595</v>
      </c>
      <c r="S262" s="65" t="s">
        <v>595</v>
      </c>
      <c r="T262" s="36" t="s">
        <v>596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 s="6"/>
    </row>
    <row r="263" spans="1:156" s="1" customFormat="1" ht="44.25">
      <c r="A263" s="42">
        <v>273</v>
      </c>
      <c r="B263" s="37" t="s">
        <v>728</v>
      </c>
      <c r="C263" s="38" t="s">
        <v>729</v>
      </c>
      <c r="D263" s="39" t="s">
        <v>321</v>
      </c>
      <c r="E263" s="40" t="s">
        <v>642</v>
      </c>
      <c r="F263" s="56">
        <f>MROUND(IF(TRIM(T263)="ATHE", D263*0.75, IF(TRIM(T263)="Focus Awards", D263*0.6, D263*0.7)) + 1, 10) - 1</f>
        <v>169</v>
      </c>
      <c r="G263" s="41">
        <f t="shared" si="36"/>
        <v>0.37656903765690375</v>
      </c>
      <c r="H263" s="53">
        <f t="shared" si="37"/>
        <v>0.29288702928870292</v>
      </c>
      <c r="I263" s="42" t="s">
        <v>595</v>
      </c>
      <c r="J263" s="42" t="s">
        <v>595</v>
      </c>
      <c r="K263" s="59" t="s">
        <v>595</v>
      </c>
      <c r="L263" s="62" t="s">
        <v>595</v>
      </c>
      <c r="M263" s="65" t="s">
        <v>595</v>
      </c>
      <c r="N263" s="65" t="s">
        <v>595</v>
      </c>
      <c r="O263" s="65" t="s">
        <v>595</v>
      </c>
      <c r="P263" s="65" t="s">
        <v>595</v>
      </c>
      <c r="Q263" s="65" t="s">
        <v>595</v>
      </c>
      <c r="R263" s="65" t="s">
        <v>595</v>
      </c>
      <c r="S263" s="65" t="s">
        <v>595</v>
      </c>
      <c r="T263" s="36" t="s">
        <v>596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 s="6"/>
    </row>
    <row r="264" spans="1:156" s="1" customFormat="1">
      <c r="A264" s="36">
        <v>274</v>
      </c>
      <c r="B264" s="37" t="s">
        <v>730</v>
      </c>
      <c r="C264" s="38" t="s">
        <v>731</v>
      </c>
      <c r="D264" s="39" t="s">
        <v>594</v>
      </c>
      <c r="E264" s="40" t="s">
        <v>657</v>
      </c>
      <c r="F264" s="56">
        <f>MROUND(IF(TRIM(T264)="ATHE", D264*0.75, IF(TRIM(T264)="Focus Awards", D264*0.6, D264*0.7)) + 1, 10) - 1</f>
        <v>99</v>
      </c>
      <c r="G264" s="41">
        <f t="shared" si="36"/>
        <v>0.35971223021582732</v>
      </c>
      <c r="H264" s="53">
        <f t="shared" si="37"/>
        <v>0.28776978417266186</v>
      </c>
      <c r="I264" s="42" t="s">
        <v>595</v>
      </c>
      <c r="J264" s="42" t="s">
        <v>595</v>
      </c>
      <c r="K264" s="59" t="s">
        <v>595</v>
      </c>
      <c r="L264" s="62" t="s">
        <v>595</v>
      </c>
      <c r="M264" s="65" t="s">
        <v>595</v>
      </c>
      <c r="N264" s="65" t="s">
        <v>595</v>
      </c>
      <c r="O264" s="65" t="s">
        <v>595</v>
      </c>
      <c r="P264" s="65" t="s">
        <v>595</v>
      </c>
      <c r="Q264" s="65" t="s">
        <v>595</v>
      </c>
      <c r="R264" s="65" t="s">
        <v>595</v>
      </c>
      <c r="S264" s="65" t="s">
        <v>595</v>
      </c>
      <c r="T264" s="36" t="s">
        <v>596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 s="6"/>
    </row>
    <row r="265" spans="1:156" s="1" customFormat="1" ht="29.45">
      <c r="A265" s="42">
        <v>275</v>
      </c>
      <c r="B265" s="37" t="s">
        <v>732</v>
      </c>
      <c r="C265" s="38" t="s">
        <v>733</v>
      </c>
      <c r="D265" s="39" t="s">
        <v>594</v>
      </c>
      <c r="E265" s="40" t="s">
        <v>657</v>
      </c>
      <c r="F265" s="56">
        <f>MROUND(IF(TRIM(T265)="ATHE", D265*0.75, IF(TRIM(T265)="Focus Awards", D265*0.6, D265*0.7)) + 1, 10) - 1</f>
        <v>99</v>
      </c>
      <c r="G265" s="41">
        <f t="shared" si="36"/>
        <v>0.35971223021582732</v>
      </c>
      <c r="H265" s="53">
        <f t="shared" si="37"/>
        <v>0.28776978417266186</v>
      </c>
      <c r="I265" s="42" t="s">
        <v>595</v>
      </c>
      <c r="J265" s="42" t="s">
        <v>595</v>
      </c>
      <c r="K265" s="59" t="s">
        <v>595</v>
      </c>
      <c r="L265" s="62" t="s">
        <v>595</v>
      </c>
      <c r="M265" s="65" t="s">
        <v>595</v>
      </c>
      <c r="N265" s="65" t="s">
        <v>595</v>
      </c>
      <c r="O265" s="65" t="s">
        <v>595</v>
      </c>
      <c r="P265" s="65" t="s">
        <v>595</v>
      </c>
      <c r="Q265" s="65" t="s">
        <v>595</v>
      </c>
      <c r="R265" s="65" t="s">
        <v>595</v>
      </c>
      <c r="S265" s="65" t="s">
        <v>595</v>
      </c>
      <c r="T265" s="36" t="s">
        <v>596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 s="6"/>
    </row>
    <row r="266" spans="1:156" s="1" customFormat="1">
      <c r="A266" s="36">
        <v>276</v>
      </c>
      <c r="B266" s="37" t="s">
        <v>734</v>
      </c>
      <c r="C266" s="38" t="s">
        <v>735</v>
      </c>
      <c r="D266" s="39" t="s">
        <v>594</v>
      </c>
      <c r="E266" s="40" t="s">
        <v>657</v>
      </c>
      <c r="F266" s="56">
        <f>MROUND(IF(TRIM(T266)="ATHE", D266*0.75, IF(TRIM(T266)="Focus Awards", D266*0.6, D266*0.7)) + 1, 10) - 1</f>
        <v>99</v>
      </c>
      <c r="G266" s="41">
        <f t="shared" si="36"/>
        <v>0.35971223021582732</v>
      </c>
      <c r="H266" s="53">
        <f t="shared" si="37"/>
        <v>0.28776978417266186</v>
      </c>
      <c r="I266" s="42" t="s">
        <v>595</v>
      </c>
      <c r="J266" s="42" t="s">
        <v>595</v>
      </c>
      <c r="K266" s="59" t="s">
        <v>595</v>
      </c>
      <c r="L266" s="62" t="s">
        <v>595</v>
      </c>
      <c r="M266" s="65" t="s">
        <v>595</v>
      </c>
      <c r="N266" s="65" t="s">
        <v>595</v>
      </c>
      <c r="O266" s="65" t="s">
        <v>595</v>
      </c>
      <c r="P266" s="65" t="s">
        <v>595</v>
      </c>
      <c r="Q266" s="65" t="s">
        <v>595</v>
      </c>
      <c r="R266" s="65" t="s">
        <v>595</v>
      </c>
      <c r="S266" s="65" t="s">
        <v>595</v>
      </c>
      <c r="T266" s="36" t="s">
        <v>596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 s="6"/>
    </row>
    <row r="267" spans="1:156" s="1" customFormat="1" ht="18" customHeight="1">
      <c r="A267" s="42">
        <v>277</v>
      </c>
      <c r="B267" s="37" t="s">
        <v>736</v>
      </c>
      <c r="C267" s="38" t="s">
        <v>737</v>
      </c>
      <c r="D267" s="39" t="s">
        <v>647</v>
      </c>
      <c r="E267" s="40" t="s">
        <v>648</v>
      </c>
      <c r="F267" s="56">
        <f>MROUND(IF(TRIM(T267)="ATHE", D267*0.75, IF(TRIM(T267)="Focus Awards", D267*0.6, D267*0.7)) + 1, 10) - 1</f>
        <v>69</v>
      </c>
      <c r="G267" s="41">
        <f t="shared" si="36"/>
        <v>0.40404040404040409</v>
      </c>
      <c r="H267" s="53">
        <f t="shared" si="37"/>
        <v>0.30303030303030298</v>
      </c>
      <c r="I267" s="42" t="s">
        <v>595</v>
      </c>
      <c r="J267" s="42" t="s">
        <v>595</v>
      </c>
      <c r="K267" s="59" t="s">
        <v>595</v>
      </c>
      <c r="L267" s="62" t="s">
        <v>595</v>
      </c>
      <c r="M267" s="65" t="s">
        <v>595</v>
      </c>
      <c r="N267" s="65" t="s">
        <v>595</v>
      </c>
      <c r="O267" s="65" t="s">
        <v>595</v>
      </c>
      <c r="P267" s="65" t="s">
        <v>595</v>
      </c>
      <c r="Q267" s="65" t="s">
        <v>595</v>
      </c>
      <c r="R267" s="65" t="s">
        <v>595</v>
      </c>
      <c r="S267" s="65" t="s">
        <v>595</v>
      </c>
      <c r="T267" s="36" t="s">
        <v>596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 s="6"/>
    </row>
    <row r="268" spans="1:156" s="1" customFormat="1" ht="29.45">
      <c r="A268" s="36">
        <v>278</v>
      </c>
      <c r="B268" s="37" t="s">
        <v>738</v>
      </c>
      <c r="C268" s="38" t="s">
        <v>739</v>
      </c>
      <c r="D268" s="39" t="s">
        <v>594</v>
      </c>
      <c r="E268" s="40" t="s">
        <v>657</v>
      </c>
      <c r="F268" s="56">
        <f>MROUND(IF(TRIM(T268)="ATHE", D268*0.75, IF(TRIM(T268)="Focus Awards", D268*0.6, D268*0.7)) + 1, 10) - 1</f>
        <v>99</v>
      </c>
      <c r="G268" s="41">
        <f t="shared" si="36"/>
        <v>0.35971223021582732</v>
      </c>
      <c r="H268" s="53">
        <f t="shared" si="37"/>
        <v>0.28776978417266186</v>
      </c>
      <c r="I268" s="42" t="s">
        <v>595</v>
      </c>
      <c r="J268" s="42" t="s">
        <v>595</v>
      </c>
      <c r="K268" s="59" t="s">
        <v>595</v>
      </c>
      <c r="L268" s="62" t="s">
        <v>595</v>
      </c>
      <c r="M268" s="65" t="s">
        <v>595</v>
      </c>
      <c r="N268" s="65" t="s">
        <v>595</v>
      </c>
      <c r="O268" s="65" t="s">
        <v>595</v>
      </c>
      <c r="P268" s="65" t="s">
        <v>595</v>
      </c>
      <c r="Q268" s="65" t="s">
        <v>595</v>
      </c>
      <c r="R268" s="65" t="s">
        <v>595</v>
      </c>
      <c r="S268" s="65" t="s">
        <v>595</v>
      </c>
      <c r="T268" s="36" t="s">
        <v>596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 s="6"/>
    </row>
    <row r="269" spans="1:156" s="1" customFormat="1">
      <c r="A269" s="42">
        <v>279</v>
      </c>
      <c r="B269" s="37" t="s">
        <v>740</v>
      </c>
      <c r="C269" s="38" t="s">
        <v>741</v>
      </c>
      <c r="D269" s="39" t="s">
        <v>338</v>
      </c>
      <c r="E269" s="40" t="s">
        <v>660</v>
      </c>
      <c r="F269" s="56">
        <f>MROUND(IF(TRIM(T269)="ATHE", D269*0.75, IF(TRIM(T269)="Focus Awards", D269*0.6, D269*0.7)) + 1, 10) - 1</f>
        <v>129</v>
      </c>
      <c r="G269" s="41">
        <f t="shared" si="36"/>
        <v>0.37037037037037035</v>
      </c>
      <c r="H269" s="53">
        <f t="shared" si="37"/>
        <v>0.31746031746031744</v>
      </c>
      <c r="I269" s="42" t="s">
        <v>595</v>
      </c>
      <c r="J269" s="42" t="s">
        <v>595</v>
      </c>
      <c r="K269" s="59" t="s">
        <v>595</v>
      </c>
      <c r="L269" s="62" t="s">
        <v>595</v>
      </c>
      <c r="M269" s="65" t="s">
        <v>595</v>
      </c>
      <c r="N269" s="65" t="s">
        <v>595</v>
      </c>
      <c r="O269" s="65" t="s">
        <v>595</v>
      </c>
      <c r="P269" s="65" t="s">
        <v>595</v>
      </c>
      <c r="Q269" s="65" t="s">
        <v>595</v>
      </c>
      <c r="R269" s="65" t="s">
        <v>595</v>
      </c>
      <c r="S269" s="65" t="s">
        <v>595</v>
      </c>
      <c r="T269" s="36" t="s">
        <v>596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 s="6"/>
    </row>
    <row r="270" spans="1:156" s="1" customFormat="1">
      <c r="A270" s="36">
        <v>280</v>
      </c>
      <c r="B270" s="37" t="s">
        <v>742</v>
      </c>
      <c r="C270" s="38" t="s">
        <v>743</v>
      </c>
      <c r="D270" s="39" t="s">
        <v>594</v>
      </c>
      <c r="E270" s="40" t="s">
        <v>657</v>
      </c>
      <c r="F270" s="56">
        <f>MROUND(IF(TRIM(T270)="ATHE", D270*0.75, IF(TRIM(T270)="Focus Awards", D270*0.6, D270*0.7)) + 1, 10) - 1</f>
        <v>99</v>
      </c>
      <c r="G270" s="41">
        <f t="shared" si="36"/>
        <v>0.35971223021582732</v>
      </c>
      <c r="H270" s="53">
        <f t="shared" si="37"/>
        <v>0.28776978417266186</v>
      </c>
      <c r="I270" s="42" t="s">
        <v>595</v>
      </c>
      <c r="J270" s="42" t="s">
        <v>595</v>
      </c>
      <c r="K270" s="59" t="s">
        <v>595</v>
      </c>
      <c r="L270" s="62" t="s">
        <v>595</v>
      </c>
      <c r="M270" s="65" t="s">
        <v>595</v>
      </c>
      <c r="N270" s="65" t="s">
        <v>595</v>
      </c>
      <c r="O270" s="65" t="s">
        <v>595</v>
      </c>
      <c r="P270" s="65" t="s">
        <v>595</v>
      </c>
      <c r="Q270" s="65" t="s">
        <v>595</v>
      </c>
      <c r="R270" s="65" t="s">
        <v>595</v>
      </c>
      <c r="S270" s="65" t="s">
        <v>595</v>
      </c>
      <c r="T270" s="36" t="s">
        <v>596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 s="6"/>
    </row>
    <row r="271" spans="1:156" s="1" customFormat="1">
      <c r="A271" s="42">
        <v>281</v>
      </c>
      <c r="B271" s="37" t="s">
        <v>744</v>
      </c>
      <c r="C271" s="38" t="s">
        <v>745</v>
      </c>
      <c r="D271" s="39" t="s">
        <v>594</v>
      </c>
      <c r="E271" s="40" t="s">
        <v>657</v>
      </c>
      <c r="F271" s="56">
        <f>MROUND(IF(TRIM(T271)="ATHE", D271*0.75, IF(TRIM(T271)="Focus Awards", D271*0.6, D271*0.7)) + 1, 10) - 1</f>
        <v>99</v>
      </c>
      <c r="G271" s="41">
        <f t="shared" si="36"/>
        <v>0.35971223021582732</v>
      </c>
      <c r="H271" s="53">
        <f t="shared" si="37"/>
        <v>0.28776978417266186</v>
      </c>
      <c r="I271" s="42" t="s">
        <v>595</v>
      </c>
      <c r="J271" s="42" t="s">
        <v>595</v>
      </c>
      <c r="K271" s="59" t="s">
        <v>595</v>
      </c>
      <c r="L271" s="62" t="s">
        <v>595</v>
      </c>
      <c r="M271" s="65" t="s">
        <v>595</v>
      </c>
      <c r="N271" s="65" t="s">
        <v>595</v>
      </c>
      <c r="O271" s="65" t="s">
        <v>595</v>
      </c>
      <c r="P271" s="65" t="s">
        <v>595</v>
      </c>
      <c r="Q271" s="65" t="s">
        <v>595</v>
      </c>
      <c r="R271" s="65" t="s">
        <v>595</v>
      </c>
      <c r="S271" s="65" t="s">
        <v>595</v>
      </c>
      <c r="T271" s="36" t="s">
        <v>596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 s="6"/>
    </row>
    <row r="272" spans="1:156" s="1" customFormat="1" ht="29.45">
      <c r="A272" s="36">
        <v>282</v>
      </c>
      <c r="B272" s="37" t="s">
        <v>746</v>
      </c>
      <c r="C272" s="38" t="s">
        <v>747</v>
      </c>
      <c r="D272" s="39" t="s">
        <v>338</v>
      </c>
      <c r="E272" s="40" t="s">
        <v>660</v>
      </c>
      <c r="F272" s="56">
        <f>MROUND(IF(TRIM(T272)="ATHE", D272*0.75, IF(TRIM(T272)="Focus Awards", D272*0.6, D272*0.7)) + 1, 10) - 1</f>
        <v>129</v>
      </c>
      <c r="G272" s="41">
        <f t="shared" si="36"/>
        <v>0.37037037037037035</v>
      </c>
      <c r="H272" s="53">
        <f t="shared" si="37"/>
        <v>0.31746031746031744</v>
      </c>
      <c r="I272" s="42" t="s">
        <v>595</v>
      </c>
      <c r="J272" s="42" t="s">
        <v>595</v>
      </c>
      <c r="K272" s="59" t="s">
        <v>595</v>
      </c>
      <c r="L272" s="62" t="s">
        <v>595</v>
      </c>
      <c r="M272" s="65" t="s">
        <v>595</v>
      </c>
      <c r="N272" s="65" t="s">
        <v>595</v>
      </c>
      <c r="O272" s="65" t="s">
        <v>595</v>
      </c>
      <c r="P272" s="65" t="s">
        <v>595</v>
      </c>
      <c r="Q272" s="65" t="s">
        <v>595</v>
      </c>
      <c r="R272" s="65" t="s">
        <v>595</v>
      </c>
      <c r="S272" s="65" t="s">
        <v>595</v>
      </c>
      <c r="T272" s="36" t="s">
        <v>596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 s="6"/>
    </row>
    <row r="273" spans="1:156" s="1" customFormat="1">
      <c r="A273" s="42">
        <v>283</v>
      </c>
      <c r="B273" s="37" t="s">
        <v>748</v>
      </c>
      <c r="C273" s="38" t="s">
        <v>749</v>
      </c>
      <c r="D273" s="39" t="s">
        <v>594</v>
      </c>
      <c r="E273" s="40" t="s">
        <v>657</v>
      </c>
      <c r="F273" s="56">
        <f>MROUND(IF(TRIM(T273)="ATHE", D273*0.75, IF(TRIM(T273)="Focus Awards", D273*0.6, D273*0.7)) + 1, 10) - 1</f>
        <v>99</v>
      </c>
      <c r="G273" s="41">
        <f t="shared" si="36"/>
        <v>0.35971223021582732</v>
      </c>
      <c r="H273" s="53">
        <f t="shared" si="37"/>
        <v>0.28776978417266186</v>
      </c>
      <c r="I273" s="42" t="s">
        <v>595</v>
      </c>
      <c r="J273" s="42" t="s">
        <v>595</v>
      </c>
      <c r="K273" s="59" t="s">
        <v>595</v>
      </c>
      <c r="L273" s="62" t="s">
        <v>595</v>
      </c>
      <c r="M273" s="65" t="s">
        <v>595</v>
      </c>
      <c r="N273" s="65" t="s">
        <v>595</v>
      </c>
      <c r="O273" s="65" t="s">
        <v>595</v>
      </c>
      <c r="P273" s="65" t="s">
        <v>595</v>
      </c>
      <c r="Q273" s="65" t="s">
        <v>595</v>
      </c>
      <c r="R273" s="65" t="s">
        <v>595</v>
      </c>
      <c r="S273" s="65" t="s">
        <v>595</v>
      </c>
      <c r="T273" s="36" t="s">
        <v>596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 s="6"/>
    </row>
    <row r="274" spans="1:156" s="1" customFormat="1" ht="19.5" customHeight="1">
      <c r="A274" s="36">
        <v>284</v>
      </c>
      <c r="B274" s="37" t="s">
        <v>750</v>
      </c>
      <c r="C274" s="38" t="s">
        <v>751</v>
      </c>
      <c r="D274" s="39" t="s">
        <v>338</v>
      </c>
      <c r="E274" s="40" t="s">
        <v>660</v>
      </c>
      <c r="F274" s="56">
        <f>MROUND(IF(TRIM(T274)="ATHE", D274*0.75, IF(TRIM(T274)="Focus Awards", D274*0.6, D274*0.7)) + 1, 10) - 1</f>
        <v>129</v>
      </c>
      <c r="G274" s="41">
        <f t="shared" si="36"/>
        <v>0.37037037037037035</v>
      </c>
      <c r="H274" s="53">
        <f t="shared" si="37"/>
        <v>0.31746031746031744</v>
      </c>
      <c r="I274" s="42" t="s">
        <v>595</v>
      </c>
      <c r="J274" s="42" t="s">
        <v>595</v>
      </c>
      <c r="K274" s="59" t="s">
        <v>595</v>
      </c>
      <c r="L274" s="62" t="s">
        <v>595</v>
      </c>
      <c r="M274" s="65" t="s">
        <v>595</v>
      </c>
      <c r="N274" s="65" t="s">
        <v>595</v>
      </c>
      <c r="O274" s="65" t="s">
        <v>595</v>
      </c>
      <c r="P274" s="65" t="s">
        <v>595</v>
      </c>
      <c r="Q274" s="65" t="s">
        <v>595</v>
      </c>
      <c r="R274" s="65" t="s">
        <v>595</v>
      </c>
      <c r="S274" s="65" t="s">
        <v>595</v>
      </c>
      <c r="T274" s="36" t="s">
        <v>596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 s="6"/>
    </row>
    <row r="275" spans="1:156" s="1" customFormat="1">
      <c r="A275" s="42">
        <v>285</v>
      </c>
      <c r="B275" s="37" t="s">
        <v>752</v>
      </c>
      <c r="C275" s="38" t="s">
        <v>753</v>
      </c>
      <c r="D275" s="39" t="s">
        <v>594</v>
      </c>
      <c r="E275" s="40" t="s">
        <v>657</v>
      </c>
      <c r="F275" s="56">
        <f>MROUND(IF(TRIM(T275)="ATHE", D275*0.75, IF(TRIM(T275)="Focus Awards", D275*0.6, D275*0.7)) + 1, 10) - 1</f>
        <v>99</v>
      </c>
      <c r="G275" s="41">
        <f t="shared" si="36"/>
        <v>0.35971223021582732</v>
      </c>
      <c r="H275" s="53">
        <f t="shared" si="37"/>
        <v>0.28776978417266186</v>
      </c>
      <c r="I275" s="42" t="s">
        <v>595</v>
      </c>
      <c r="J275" s="42" t="s">
        <v>595</v>
      </c>
      <c r="K275" s="59" t="s">
        <v>595</v>
      </c>
      <c r="L275" s="62" t="s">
        <v>595</v>
      </c>
      <c r="M275" s="65" t="s">
        <v>595</v>
      </c>
      <c r="N275" s="65" t="s">
        <v>595</v>
      </c>
      <c r="O275" s="65" t="s">
        <v>595</v>
      </c>
      <c r="P275" s="65" t="s">
        <v>595</v>
      </c>
      <c r="Q275" s="65" t="s">
        <v>595</v>
      </c>
      <c r="R275" s="65" t="s">
        <v>595</v>
      </c>
      <c r="S275" s="65" t="s">
        <v>595</v>
      </c>
      <c r="T275" s="36" t="s">
        <v>596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 s="6"/>
    </row>
    <row r="276" spans="1:156" s="1" customFormat="1" ht="29.45">
      <c r="A276" s="36">
        <v>286</v>
      </c>
      <c r="B276" s="37" t="s">
        <v>754</v>
      </c>
      <c r="C276" s="38" t="s">
        <v>755</v>
      </c>
      <c r="D276" s="39" t="s">
        <v>594</v>
      </c>
      <c r="E276" s="40" t="s">
        <v>657</v>
      </c>
      <c r="F276" s="56">
        <f>MROUND(IF(TRIM(T276)="ATHE", D276*0.75, IF(TRIM(T276)="Focus Awards", D276*0.6, D276*0.7)) + 1, 10) - 1</f>
        <v>99</v>
      </c>
      <c r="G276" s="41">
        <f t="shared" si="36"/>
        <v>0.35971223021582732</v>
      </c>
      <c r="H276" s="53">
        <f t="shared" si="37"/>
        <v>0.28776978417266186</v>
      </c>
      <c r="I276" s="42" t="s">
        <v>595</v>
      </c>
      <c r="J276" s="42" t="s">
        <v>595</v>
      </c>
      <c r="K276" s="59" t="s">
        <v>595</v>
      </c>
      <c r="L276" s="62" t="s">
        <v>595</v>
      </c>
      <c r="M276" s="65" t="s">
        <v>595</v>
      </c>
      <c r="N276" s="65" t="s">
        <v>595</v>
      </c>
      <c r="O276" s="65" t="s">
        <v>595</v>
      </c>
      <c r="P276" s="65" t="s">
        <v>595</v>
      </c>
      <c r="Q276" s="65" t="s">
        <v>595</v>
      </c>
      <c r="R276" s="65" t="s">
        <v>595</v>
      </c>
      <c r="S276" s="65" t="s">
        <v>595</v>
      </c>
      <c r="T276" s="36" t="s">
        <v>596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 s="6"/>
    </row>
    <row r="277" spans="1:156" s="1" customFormat="1" ht="19.5" customHeight="1">
      <c r="A277" s="42">
        <v>287</v>
      </c>
      <c r="B277" s="37" t="s">
        <v>756</v>
      </c>
      <c r="C277" s="38" t="s">
        <v>757</v>
      </c>
      <c r="D277" s="39" t="s">
        <v>338</v>
      </c>
      <c r="E277" s="40" t="s">
        <v>660</v>
      </c>
      <c r="F277" s="56">
        <f>MROUND(IF(TRIM(T277)="ATHE", D277*0.75, IF(TRIM(T277)="Focus Awards", D277*0.6, D277*0.7)) + 1, 10) - 1</f>
        <v>129</v>
      </c>
      <c r="G277" s="41">
        <f t="shared" si="36"/>
        <v>0.37037037037037035</v>
      </c>
      <c r="H277" s="53">
        <f t="shared" si="37"/>
        <v>0.31746031746031744</v>
      </c>
      <c r="I277" s="42" t="s">
        <v>595</v>
      </c>
      <c r="J277" s="42" t="s">
        <v>595</v>
      </c>
      <c r="K277" s="59" t="s">
        <v>595</v>
      </c>
      <c r="L277" s="62" t="s">
        <v>595</v>
      </c>
      <c r="M277" s="65" t="s">
        <v>595</v>
      </c>
      <c r="N277" s="65" t="s">
        <v>595</v>
      </c>
      <c r="O277" s="65" t="s">
        <v>595</v>
      </c>
      <c r="P277" s="65" t="s">
        <v>595</v>
      </c>
      <c r="Q277" s="65" t="s">
        <v>595</v>
      </c>
      <c r="R277" s="65" t="s">
        <v>595</v>
      </c>
      <c r="S277" s="65" t="s">
        <v>595</v>
      </c>
      <c r="T277" s="36" t="s">
        <v>596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 s="6"/>
    </row>
    <row r="278" spans="1:156" s="1" customFormat="1">
      <c r="A278" s="36">
        <v>288</v>
      </c>
      <c r="B278" s="37" t="s">
        <v>758</v>
      </c>
      <c r="C278" s="38" t="s">
        <v>759</v>
      </c>
      <c r="D278" s="39" t="s">
        <v>338</v>
      </c>
      <c r="E278" s="40" t="s">
        <v>660</v>
      </c>
      <c r="F278" s="56">
        <f>MROUND(IF(TRIM(T278)="ATHE", D278*0.75, IF(TRIM(T278)="Focus Awards", D278*0.6, D278*0.7)) + 1, 10) - 1</f>
        <v>129</v>
      </c>
      <c r="G278" s="41">
        <f t="shared" si="36"/>
        <v>0.37037037037037035</v>
      </c>
      <c r="H278" s="53">
        <f t="shared" si="37"/>
        <v>0.31746031746031744</v>
      </c>
      <c r="I278" s="42" t="s">
        <v>595</v>
      </c>
      <c r="J278" s="42" t="s">
        <v>595</v>
      </c>
      <c r="K278" s="59" t="s">
        <v>595</v>
      </c>
      <c r="L278" s="62" t="s">
        <v>595</v>
      </c>
      <c r="M278" s="65" t="s">
        <v>595</v>
      </c>
      <c r="N278" s="65" t="s">
        <v>595</v>
      </c>
      <c r="O278" s="65" t="s">
        <v>595</v>
      </c>
      <c r="P278" s="65" t="s">
        <v>595</v>
      </c>
      <c r="Q278" s="65" t="s">
        <v>595</v>
      </c>
      <c r="R278" s="65" t="s">
        <v>595</v>
      </c>
      <c r="S278" s="65" t="s">
        <v>595</v>
      </c>
      <c r="T278" s="36" t="s">
        <v>596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 s="6"/>
    </row>
    <row r="279" spans="1:156" s="1" customFormat="1" ht="29.45">
      <c r="A279" s="42">
        <v>289</v>
      </c>
      <c r="B279" s="37" t="s">
        <v>760</v>
      </c>
      <c r="C279" s="38" t="s">
        <v>761</v>
      </c>
      <c r="D279" s="39" t="s">
        <v>594</v>
      </c>
      <c r="E279" s="40" t="s">
        <v>657</v>
      </c>
      <c r="F279" s="56">
        <f>MROUND(IF(TRIM(T279)="ATHE", D279*0.75, IF(TRIM(T279)="Focus Awards", D279*0.6, D279*0.7)) + 1, 10) - 1</f>
        <v>99</v>
      </c>
      <c r="G279" s="41">
        <f t="shared" si="36"/>
        <v>0.35971223021582732</v>
      </c>
      <c r="H279" s="53">
        <f t="shared" si="37"/>
        <v>0.28776978417266186</v>
      </c>
      <c r="I279" s="42" t="s">
        <v>595</v>
      </c>
      <c r="J279" s="42" t="s">
        <v>595</v>
      </c>
      <c r="K279" s="59" t="s">
        <v>595</v>
      </c>
      <c r="L279" s="62" t="s">
        <v>595</v>
      </c>
      <c r="M279" s="65" t="s">
        <v>595</v>
      </c>
      <c r="N279" s="65" t="s">
        <v>595</v>
      </c>
      <c r="O279" s="65" t="s">
        <v>595</v>
      </c>
      <c r="P279" s="65" t="s">
        <v>595</v>
      </c>
      <c r="Q279" s="65" t="s">
        <v>595</v>
      </c>
      <c r="R279" s="65" t="s">
        <v>595</v>
      </c>
      <c r="S279" s="65" t="s">
        <v>595</v>
      </c>
      <c r="T279" s="36" t="s">
        <v>596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 s="6"/>
    </row>
    <row r="280" spans="1:156" s="1" customFormat="1">
      <c r="A280" s="36">
        <v>290</v>
      </c>
      <c r="B280" s="37" t="s">
        <v>762</v>
      </c>
      <c r="C280" s="38" t="s">
        <v>763</v>
      </c>
      <c r="D280" s="39" t="s">
        <v>594</v>
      </c>
      <c r="E280" s="40" t="s">
        <v>657</v>
      </c>
      <c r="F280" s="56">
        <f>MROUND(IF(TRIM(T280)="ATHE", D280*0.75, IF(TRIM(T280)="Focus Awards", D280*0.6, D280*0.7)) + 1, 10) - 1</f>
        <v>99</v>
      </c>
      <c r="G280" s="41">
        <f t="shared" si="36"/>
        <v>0.35971223021582732</v>
      </c>
      <c r="H280" s="53">
        <f t="shared" si="37"/>
        <v>0.28776978417266186</v>
      </c>
      <c r="I280" s="42" t="s">
        <v>595</v>
      </c>
      <c r="J280" s="42" t="s">
        <v>595</v>
      </c>
      <c r="K280" s="59" t="s">
        <v>595</v>
      </c>
      <c r="L280" s="62" t="s">
        <v>595</v>
      </c>
      <c r="M280" s="65" t="s">
        <v>595</v>
      </c>
      <c r="N280" s="65" t="s">
        <v>595</v>
      </c>
      <c r="O280" s="65" t="s">
        <v>595</v>
      </c>
      <c r="P280" s="65" t="s">
        <v>595</v>
      </c>
      <c r="Q280" s="65" t="s">
        <v>595</v>
      </c>
      <c r="R280" s="65" t="s">
        <v>595</v>
      </c>
      <c r="S280" s="65" t="s">
        <v>595</v>
      </c>
      <c r="T280" s="36" t="s">
        <v>596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 s="6"/>
    </row>
    <row r="281" spans="1:156" s="1" customFormat="1">
      <c r="A281" s="42">
        <v>291</v>
      </c>
      <c r="B281" s="37" t="s">
        <v>764</v>
      </c>
      <c r="C281" s="38" t="s">
        <v>765</v>
      </c>
      <c r="D281" s="39" t="s">
        <v>594</v>
      </c>
      <c r="E281" s="40" t="s">
        <v>657</v>
      </c>
      <c r="F281" s="56">
        <f>MROUND(IF(TRIM(T281)="ATHE", D281*0.75, IF(TRIM(T281)="Focus Awards", D281*0.6, D281*0.7)) + 1, 10) - 1</f>
        <v>99</v>
      </c>
      <c r="G281" s="41">
        <f t="shared" si="36"/>
        <v>0.35971223021582732</v>
      </c>
      <c r="H281" s="53">
        <f t="shared" si="37"/>
        <v>0.28776978417266186</v>
      </c>
      <c r="I281" s="42" t="s">
        <v>595</v>
      </c>
      <c r="J281" s="42" t="s">
        <v>595</v>
      </c>
      <c r="K281" s="59" t="s">
        <v>595</v>
      </c>
      <c r="L281" s="62" t="s">
        <v>595</v>
      </c>
      <c r="M281" s="65" t="s">
        <v>595</v>
      </c>
      <c r="N281" s="65" t="s">
        <v>595</v>
      </c>
      <c r="O281" s="65" t="s">
        <v>595</v>
      </c>
      <c r="P281" s="65" t="s">
        <v>595</v>
      </c>
      <c r="Q281" s="65" t="s">
        <v>595</v>
      </c>
      <c r="R281" s="65" t="s">
        <v>595</v>
      </c>
      <c r="S281" s="65" t="s">
        <v>595</v>
      </c>
      <c r="T281" s="36" t="s">
        <v>596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 s="6"/>
    </row>
    <row r="282" spans="1:156" s="1" customFormat="1" ht="29.45">
      <c r="A282" s="36">
        <v>292</v>
      </c>
      <c r="B282" s="37" t="s">
        <v>766</v>
      </c>
      <c r="C282" s="38" t="s">
        <v>767</v>
      </c>
      <c r="D282" s="39" t="s">
        <v>594</v>
      </c>
      <c r="E282" s="40" t="s">
        <v>657</v>
      </c>
      <c r="F282" s="56">
        <f>MROUND(IF(TRIM(T282)="ATHE", D282*0.75, IF(TRIM(T282)="Focus Awards", D282*0.6, D282*0.7)) + 1, 10) - 1</f>
        <v>99</v>
      </c>
      <c r="G282" s="41">
        <f t="shared" si="36"/>
        <v>0.35971223021582732</v>
      </c>
      <c r="H282" s="53">
        <f t="shared" si="37"/>
        <v>0.28776978417266186</v>
      </c>
      <c r="I282" s="42" t="s">
        <v>595</v>
      </c>
      <c r="J282" s="42" t="s">
        <v>595</v>
      </c>
      <c r="K282" s="59" t="s">
        <v>595</v>
      </c>
      <c r="L282" s="62" t="s">
        <v>595</v>
      </c>
      <c r="M282" s="65" t="s">
        <v>595</v>
      </c>
      <c r="N282" s="65" t="s">
        <v>595</v>
      </c>
      <c r="O282" s="65" t="s">
        <v>595</v>
      </c>
      <c r="P282" s="65" t="s">
        <v>595</v>
      </c>
      <c r="Q282" s="65" t="s">
        <v>595</v>
      </c>
      <c r="R282" s="65" t="s">
        <v>595</v>
      </c>
      <c r="S282" s="65" t="s">
        <v>595</v>
      </c>
      <c r="T282" s="36" t="s">
        <v>596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 s="6"/>
    </row>
    <row r="283" spans="1:156" s="1" customFormat="1" ht="18.75" customHeight="1">
      <c r="A283" s="42">
        <v>293</v>
      </c>
      <c r="B283" s="37" t="s">
        <v>768</v>
      </c>
      <c r="C283" s="38" t="s">
        <v>769</v>
      </c>
      <c r="D283" s="39" t="s">
        <v>594</v>
      </c>
      <c r="E283" s="40" t="s">
        <v>657</v>
      </c>
      <c r="F283" s="56">
        <f>MROUND(IF(TRIM(T283)="ATHE", D283*0.75, IF(TRIM(T283)="Focus Awards", D283*0.6, D283*0.7)) + 1, 10) - 1</f>
        <v>99</v>
      </c>
      <c r="G283" s="41">
        <f t="shared" si="36"/>
        <v>0.35971223021582732</v>
      </c>
      <c r="H283" s="53">
        <f t="shared" si="37"/>
        <v>0.28776978417266186</v>
      </c>
      <c r="I283" s="42" t="s">
        <v>595</v>
      </c>
      <c r="J283" s="42" t="s">
        <v>595</v>
      </c>
      <c r="K283" s="59" t="s">
        <v>595</v>
      </c>
      <c r="L283" s="62" t="s">
        <v>595</v>
      </c>
      <c r="M283" s="65" t="s">
        <v>595</v>
      </c>
      <c r="N283" s="65" t="s">
        <v>595</v>
      </c>
      <c r="O283" s="65" t="s">
        <v>595</v>
      </c>
      <c r="P283" s="65" t="s">
        <v>595</v>
      </c>
      <c r="Q283" s="65" t="s">
        <v>595</v>
      </c>
      <c r="R283" s="65" t="s">
        <v>595</v>
      </c>
      <c r="S283" s="65" t="s">
        <v>595</v>
      </c>
      <c r="T283" s="36" t="s">
        <v>596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 s="6"/>
    </row>
    <row r="284" spans="1:156" s="1" customFormat="1" ht="29.45">
      <c r="A284" s="36">
        <v>294</v>
      </c>
      <c r="B284" s="37" t="s">
        <v>770</v>
      </c>
      <c r="C284" s="38" t="s">
        <v>771</v>
      </c>
      <c r="D284" s="39" t="s">
        <v>647</v>
      </c>
      <c r="E284" s="40" t="s">
        <v>648</v>
      </c>
      <c r="F284" s="56">
        <f>MROUND(IF(TRIM(T284)="ATHE", D284*0.75, IF(TRIM(T284)="Focus Awards", D284*0.6, D284*0.7)) + 1, 10) - 1</f>
        <v>69</v>
      </c>
      <c r="G284" s="41">
        <f t="shared" si="36"/>
        <v>0.40404040404040409</v>
      </c>
      <c r="H284" s="53">
        <f t="shared" si="37"/>
        <v>0.30303030303030298</v>
      </c>
      <c r="I284" s="42" t="s">
        <v>595</v>
      </c>
      <c r="J284" s="42" t="s">
        <v>595</v>
      </c>
      <c r="K284" s="59" t="s">
        <v>595</v>
      </c>
      <c r="L284" s="62" t="s">
        <v>595</v>
      </c>
      <c r="M284" s="65" t="s">
        <v>595</v>
      </c>
      <c r="N284" s="65" t="s">
        <v>595</v>
      </c>
      <c r="O284" s="65" t="s">
        <v>595</v>
      </c>
      <c r="P284" s="65" t="s">
        <v>595</v>
      </c>
      <c r="Q284" s="65" t="s">
        <v>595</v>
      </c>
      <c r="R284" s="65" t="s">
        <v>595</v>
      </c>
      <c r="S284" s="65" t="s">
        <v>595</v>
      </c>
      <c r="T284" s="36" t="s">
        <v>596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 s="6"/>
    </row>
    <row r="285" spans="1:156" s="1" customFormat="1">
      <c r="A285" s="42">
        <v>295</v>
      </c>
      <c r="B285" s="37" t="s">
        <v>772</v>
      </c>
      <c r="C285" s="38" t="s">
        <v>773</v>
      </c>
      <c r="D285" s="39" t="s">
        <v>338</v>
      </c>
      <c r="E285" s="40" t="s">
        <v>660</v>
      </c>
      <c r="F285" s="56">
        <f>MROUND(IF(TRIM(T285)="ATHE", D285*0.75, IF(TRIM(T285)="Focus Awards", D285*0.6, D285*0.7)) + 1, 10) - 1</f>
        <v>129</v>
      </c>
      <c r="G285" s="41">
        <f t="shared" si="36"/>
        <v>0.37037037037037035</v>
      </c>
      <c r="H285" s="53">
        <f t="shared" si="37"/>
        <v>0.31746031746031744</v>
      </c>
      <c r="I285" s="42" t="s">
        <v>595</v>
      </c>
      <c r="J285" s="42" t="s">
        <v>595</v>
      </c>
      <c r="K285" s="59" t="s">
        <v>595</v>
      </c>
      <c r="L285" s="62" t="s">
        <v>595</v>
      </c>
      <c r="M285" s="65" t="s">
        <v>595</v>
      </c>
      <c r="N285" s="65" t="s">
        <v>595</v>
      </c>
      <c r="O285" s="65" t="s">
        <v>595</v>
      </c>
      <c r="P285" s="65" t="s">
        <v>595</v>
      </c>
      <c r="Q285" s="65" t="s">
        <v>595</v>
      </c>
      <c r="R285" s="65" t="s">
        <v>595</v>
      </c>
      <c r="S285" s="65" t="s">
        <v>595</v>
      </c>
      <c r="T285" s="36" t="s">
        <v>596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 s="6"/>
    </row>
    <row r="286" spans="1:156" s="1" customFormat="1">
      <c r="A286" s="36">
        <v>296</v>
      </c>
      <c r="B286" s="37" t="s">
        <v>774</v>
      </c>
      <c r="C286" s="38" t="s">
        <v>775</v>
      </c>
      <c r="D286" s="39" t="s">
        <v>594</v>
      </c>
      <c r="E286" s="40" t="s">
        <v>657</v>
      </c>
      <c r="F286" s="56">
        <f>MROUND(IF(TRIM(T286)="ATHE", D286*0.75, IF(TRIM(T286)="Focus Awards", D286*0.6, D286*0.7)) + 1, 10) - 1</f>
        <v>99</v>
      </c>
      <c r="G286" s="41">
        <f t="shared" si="36"/>
        <v>0.35971223021582732</v>
      </c>
      <c r="H286" s="53">
        <f t="shared" si="37"/>
        <v>0.28776978417266186</v>
      </c>
      <c r="I286" s="42" t="s">
        <v>595</v>
      </c>
      <c r="J286" s="42" t="s">
        <v>595</v>
      </c>
      <c r="K286" s="59" t="s">
        <v>595</v>
      </c>
      <c r="L286" s="62" t="s">
        <v>595</v>
      </c>
      <c r="M286" s="65" t="s">
        <v>595</v>
      </c>
      <c r="N286" s="65" t="s">
        <v>595</v>
      </c>
      <c r="O286" s="65" t="s">
        <v>595</v>
      </c>
      <c r="P286" s="65" t="s">
        <v>595</v>
      </c>
      <c r="Q286" s="65" t="s">
        <v>595</v>
      </c>
      <c r="R286" s="65" t="s">
        <v>595</v>
      </c>
      <c r="S286" s="65" t="s">
        <v>595</v>
      </c>
      <c r="T286" s="36" t="s">
        <v>596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 s="6"/>
    </row>
    <row r="287" spans="1:156" s="1" customFormat="1" ht="29.45">
      <c r="A287" s="42">
        <v>297</v>
      </c>
      <c r="B287" s="37" t="s">
        <v>776</v>
      </c>
      <c r="C287" s="38" t="s">
        <v>777</v>
      </c>
      <c r="D287" s="39" t="s">
        <v>338</v>
      </c>
      <c r="E287" s="40" t="s">
        <v>660</v>
      </c>
      <c r="F287" s="56">
        <f>MROUND(IF(TRIM(T287)="ATHE", D287*0.75, IF(TRIM(T287)="Focus Awards", D287*0.6, D287*0.7)) + 1, 10) - 1</f>
        <v>129</v>
      </c>
      <c r="G287" s="41">
        <f t="shared" si="36"/>
        <v>0.37037037037037035</v>
      </c>
      <c r="H287" s="53">
        <f t="shared" si="37"/>
        <v>0.31746031746031744</v>
      </c>
      <c r="I287" s="42" t="s">
        <v>595</v>
      </c>
      <c r="J287" s="42" t="s">
        <v>595</v>
      </c>
      <c r="K287" s="59" t="s">
        <v>595</v>
      </c>
      <c r="L287" s="62" t="s">
        <v>595</v>
      </c>
      <c r="M287" s="65" t="s">
        <v>595</v>
      </c>
      <c r="N287" s="65" t="s">
        <v>595</v>
      </c>
      <c r="O287" s="65" t="s">
        <v>595</v>
      </c>
      <c r="P287" s="65" t="s">
        <v>595</v>
      </c>
      <c r="Q287" s="65" t="s">
        <v>595</v>
      </c>
      <c r="R287" s="65" t="s">
        <v>595</v>
      </c>
      <c r="S287" s="65" t="s">
        <v>595</v>
      </c>
      <c r="T287" s="36" t="s">
        <v>596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 s="6"/>
    </row>
    <row r="288" spans="1:156" s="1" customFormat="1">
      <c r="A288" s="36">
        <v>298</v>
      </c>
      <c r="B288" s="37" t="s">
        <v>778</v>
      </c>
      <c r="C288" s="38" t="s">
        <v>779</v>
      </c>
      <c r="D288" s="39" t="s">
        <v>338</v>
      </c>
      <c r="E288" s="40" t="s">
        <v>660</v>
      </c>
      <c r="F288" s="56">
        <f>MROUND(IF(TRIM(T288)="ATHE", D288*0.75, IF(TRIM(T288)="Focus Awards", D288*0.6, D288*0.7)) + 1, 10) - 1</f>
        <v>129</v>
      </c>
      <c r="G288" s="41">
        <f t="shared" si="36"/>
        <v>0.37037037037037035</v>
      </c>
      <c r="H288" s="53">
        <f t="shared" si="37"/>
        <v>0.31746031746031744</v>
      </c>
      <c r="I288" s="42" t="s">
        <v>595</v>
      </c>
      <c r="J288" s="42" t="s">
        <v>595</v>
      </c>
      <c r="K288" s="59" t="s">
        <v>595</v>
      </c>
      <c r="L288" s="62" t="s">
        <v>595</v>
      </c>
      <c r="M288" s="65" t="s">
        <v>595</v>
      </c>
      <c r="N288" s="65" t="s">
        <v>595</v>
      </c>
      <c r="O288" s="65" t="s">
        <v>595</v>
      </c>
      <c r="P288" s="65" t="s">
        <v>595</v>
      </c>
      <c r="Q288" s="65" t="s">
        <v>595</v>
      </c>
      <c r="R288" s="65" t="s">
        <v>595</v>
      </c>
      <c r="S288" s="65" t="s">
        <v>595</v>
      </c>
      <c r="T288" s="36" t="s">
        <v>596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 s="6"/>
    </row>
    <row r="289" spans="1:156" s="1" customFormat="1" ht="29.45">
      <c r="A289" s="42">
        <v>299</v>
      </c>
      <c r="B289" s="37" t="s">
        <v>780</v>
      </c>
      <c r="C289" s="38" t="s">
        <v>781</v>
      </c>
      <c r="D289" s="39" t="s">
        <v>338</v>
      </c>
      <c r="E289" s="40" t="s">
        <v>660</v>
      </c>
      <c r="F289" s="56">
        <f>MROUND(IF(TRIM(T289)="ATHE", D289*0.75, IF(TRIM(T289)="Focus Awards", D289*0.6, D289*0.7)) + 1, 10) - 1</f>
        <v>129</v>
      </c>
      <c r="G289" s="41">
        <f t="shared" si="36"/>
        <v>0.37037037037037035</v>
      </c>
      <c r="H289" s="53">
        <f t="shared" si="37"/>
        <v>0.31746031746031744</v>
      </c>
      <c r="I289" s="42" t="s">
        <v>595</v>
      </c>
      <c r="J289" s="42" t="s">
        <v>595</v>
      </c>
      <c r="K289" s="59" t="s">
        <v>595</v>
      </c>
      <c r="L289" s="62" t="s">
        <v>595</v>
      </c>
      <c r="M289" s="65" t="s">
        <v>595</v>
      </c>
      <c r="N289" s="65" t="s">
        <v>595</v>
      </c>
      <c r="O289" s="65" t="s">
        <v>595</v>
      </c>
      <c r="P289" s="65" t="s">
        <v>595</v>
      </c>
      <c r="Q289" s="65" t="s">
        <v>595</v>
      </c>
      <c r="R289" s="65" t="s">
        <v>595</v>
      </c>
      <c r="S289" s="65" t="s">
        <v>595</v>
      </c>
      <c r="T289" s="36" t="s">
        <v>596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 s="6"/>
    </row>
    <row r="290" spans="1:156" s="1" customFormat="1">
      <c r="A290" s="36">
        <v>300</v>
      </c>
      <c r="B290" s="37" t="s">
        <v>782</v>
      </c>
      <c r="C290" s="38" t="s">
        <v>783</v>
      </c>
      <c r="D290" s="39" t="s">
        <v>338</v>
      </c>
      <c r="E290" s="40" t="s">
        <v>660</v>
      </c>
      <c r="F290" s="56">
        <f>MROUND(IF(TRIM(T290)="ATHE", D290*0.75, IF(TRIM(T290)="Focus Awards", D290*0.6, D290*0.7)) + 1, 10) - 1</f>
        <v>129</v>
      </c>
      <c r="G290" s="41">
        <f t="shared" si="36"/>
        <v>0.37037037037037035</v>
      </c>
      <c r="H290" s="53">
        <f t="shared" si="37"/>
        <v>0.31746031746031744</v>
      </c>
      <c r="I290" s="42" t="s">
        <v>595</v>
      </c>
      <c r="J290" s="42" t="s">
        <v>595</v>
      </c>
      <c r="K290" s="59" t="s">
        <v>595</v>
      </c>
      <c r="L290" s="62" t="s">
        <v>595</v>
      </c>
      <c r="M290" s="65" t="s">
        <v>595</v>
      </c>
      <c r="N290" s="65" t="s">
        <v>595</v>
      </c>
      <c r="O290" s="65" t="s">
        <v>595</v>
      </c>
      <c r="P290" s="65" t="s">
        <v>595</v>
      </c>
      <c r="Q290" s="65" t="s">
        <v>595</v>
      </c>
      <c r="R290" s="65" t="s">
        <v>595</v>
      </c>
      <c r="S290" s="65" t="s">
        <v>595</v>
      </c>
      <c r="T290" s="36" t="s">
        <v>596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 s="6"/>
    </row>
    <row r="291" spans="1:156" s="1" customFormat="1" ht="29.45">
      <c r="A291" s="42">
        <v>301</v>
      </c>
      <c r="B291" s="37" t="s">
        <v>784</v>
      </c>
      <c r="C291" s="38" t="s">
        <v>785</v>
      </c>
      <c r="D291" s="39" t="s">
        <v>338</v>
      </c>
      <c r="E291" s="40" t="s">
        <v>660</v>
      </c>
      <c r="F291" s="56">
        <f>MROUND(IF(TRIM(T291)="ATHE", D291*0.75, IF(TRIM(T291)="Focus Awards", D291*0.6, D291*0.7)) + 1, 10) - 1</f>
        <v>129</v>
      </c>
      <c r="G291" s="41">
        <f t="shared" si="36"/>
        <v>0.37037037037037035</v>
      </c>
      <c r="H291" s="53">
        <f t="shared" si="37"/>
        <v>0.31746031746031744</v>
      </c>
      <c r="I291" s="42" t="s">
        <v>595</v>
      </c>
      <c r="J291" s="42" t="s">
        <v>595</v>
      </c>
      <c r="K291" s="59" t="s">
        <v>595</v>
      </c>
      <c r="L291" s="62" t="s">
        <v>595</v>
      </c>
      <c r="M291" s="65" t="s">
        <v>595</v>
      </c>
      <c r="N291" s="65" t="s">
        <v>595</v>
      </c>
      <c r="O291" s="65" t="s">
        <v>595</v>
      </c>
      <c r="P291" s="65" t="s">
        <v>595</v>
      </c>
      <c r="Q291" s="65" t="s">
        <v>595</v>
      </c>
      <c r="R291" s="65" t="s">
        <v>595</v>
      </c>
      <c r="S291" s="65" t="s">
        <v>595</v>
      </c>
      <c r="T291" s="36" t="s">
        <v>596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 s="6"/>
    </row>
    <row r="292" spans="1:156" s="1" customFormat="1" ht="29.45">
      <c r="A292" s="36">
        <v>302</v>
      </c>
      <c r="B292" s="37" t="s">
        <v>786</v>
      </c>
      <c r="C292" s="38" t="s">
        <v>787</v>
      </c>
      <c r="D292" s="39" t="s">
        <v>338</v>
      </c>
      <c r="E292" s="40" t="s">
        <v>660</v>
      </c>
      <c r="F292" s="56">
        <f>MROUND(IF(TRIM(T292)="ATHE", D292*0.75, IF(TRIM(T292)="Focus Awards", D292*0.6, D292*0.7)) + 1, 10) - 1</f>
        <v>129</v>
      </c>
      <c r="G292" s="41">
        <f t="shared" si="36"/>
        <v>0.37037037037037035</v>
      </c>
      <c r="H292" s="53">
        <f t="shared" si="37"/>
        <v>0.31746031746031744</v>
      </c>
      <c r="I292" s="42" t="s">
        <v>595</v>
      </c>
      <c r="J292" s="42" t="s">
        <v>595</v>
      </c>
      <c r="K292" s="59" t="s">
        <v>595</v>
      </c>
      <c r="L292" s="62" t="s">
        <v>595</v>
      </c>
      <c r="M292" s="65" t="s">
        <v>595</v>
      </c>
      <c r="N292" s="65" t="s">
        <v>595</v>
      </c>
      <c r="O292" s="65" t="s">
        <v>595</v>
      </c>
      <c r="P292" s="65" t="s">
        <v>595</v>
      </c>
      <c r="Q292" s="65" t="s">
        <v>595</v>
      </c>
      <c r="R292" s="65" t="s">
        <v>595</v>
      </c>
      <c r="S292" s="65" t="s">
        <v>595</v>
      </c>
      <c r="T292" s="36" t="s">
        <v>596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 s="6"/>
    </row>
    <row r="293" spans="1:156" s="1" customFormat="1">
      <c r="A293" s="42">
        <v>303</v>
      </c>
      <c r="B293" s="37" t="s">
        <v>788</v>
      </c>
      <c r="C293" s="38" t="s">
        <v>789</v>
      </c>
      <c r="D293" s="39" t="s">
        <v>338</v>
      </c>
      <c r="E293" s="40" t="s">
        <v>660</v>
      </c>
      <c r="F293" s="56">
        <f>MROUND(IF(TRIM(T293)="ATHE", D293*0.75, IF(TRIM(T293)="Focus Awards", D293*0.6, D293*0.7)) + 1, 10) - 1</f>
        <v>129</v>
      </c>
      <c r="G293" s="41">
        <f t="shared" si="36"/>
        <v>0.37037037037037035</v>
      </c>
      <c r="H293" s="53">
        <f t="shared" si="37"/>
        <v>0.31746031746031744</v>
      </c>
      <c r="I293" s="42" t="s">
        <v>595</v>
      </c>
      <c r="J293" s="42" t="s">
        <v>595</v>
      </c>
      <c r="K293" s="59" t="s">
        <v>595</v>
      </c>
      <c r="L293" s="62" t="s">
        <v>595</v>
      </c>
      <c r="M293" s="65" t="s">
        <v>595</v>
      </c>
      <c r="N293" s="65" t="s">
        <v>595</v>
      </c>
      <c r="O293" s="65" t="s">
        <v>595</v>
      </c>
      <c r="P293" s="65" t="s">
        <v>595</v>
      </c>
      <c r="Q293" s="65" t="s">
        <v>595</v>
      </c>
      <c r="R293" s="65" t="s">
        <v>595</v>
      </c>
      <c r="S293" s="65" t="s">
        <v>595</v>
      </c>
      <c r="T293" s="36" t="s">
        <v>596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 s="6"/>
    </row>
    <row r="294" spans="1:156" s="1" customFormat="1">
      <c r="A294" s="36">
        <v>304</v>
      </c>
      <c r="B294" s="37" t="s">
        <v>790</v>
      </c>
      <c r="C294" s="38" t="s">
        <v>791</v>
      </c>
      <c r="D294" s="39" t="s">
        <v>594</v>
      </c>
      <c r="E294" s="40" t="s">
        <v>657</v>
      </c>
      <c r="F294" s="56">
        <f>MROUND(IF(TRIM(T294)="ATHE", D294*0.75, IF(TRIM(T294)="Focus Awards", D294*0.6, D294*0.7)) + 1, 10) - 1</f>
        <v>99</v>
      </c>
      <c r="G294" s="41">
        <f t="shared" si="36"/>
        <v>0.35971223021582732</v>
      </c>
      <c r="H294" s="53">
        <f t="shared" si="37"/>
        <v>0.28776978417266186</v>
      </c>
      <c r="I294" s="42" t="s">
        <v>595</v>
      </c>
      <c r="J294" s="42" t="s">
        <v>595</v>
      </c>
      <c r="K294" s="59" t="s">
        <v>595</v>
      </c>
      <c r="L294" s="62" t="s">
        <v>595</v>
      </c>
      <c r="M294" s="65" t="s">
        <v>595</v>
      </c>
      <c r="N294" s="65" t="s">
        <v>595</v>
      </c>
      <c r="O294" s="65" t="s">
        <v>595</v>
      </c>
      <c r="P294" s="65" t="s">
        <v>595</v>
      </c>
      <c r="Q294" s="65" t="s">
        <v>595</v>
      </c>
      <c r="R294" s="65" t="s">
        <v>595</v>
      </c>
      <c r="S294" s="65" t="s">
        <v>595</v>
      </c>
      <c r="T294" s="36" t="s">
        <v>596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 s="6"/>
    </row>
    <row r="295" spans="1:156" s="1" customFormat="1">
      <c r="A295" s="42">
        <v>305</v>
      </c>
      <c r="B295" s="37" t="s">
        <v>792</v>
      </c>
      <c r="C295" s="38" t="s">
        <v>793</v>
      </c>
      <c r="D295" s="39" t="s">
        <v>338</v>
      </c>
      <c r="E295" s="40" t="s">
        <v>660</v>
      </c>
      <c r="F295" s="56">
        <f>MROUND(IF(TRIM(T295)="ATHE", D295*0.75, IF(TRIM(T295)="Focus Awards", D295*0.6, D295*0.7)) + 1, 10) - 1</f>
        <v>129</v>
      </c>
      <c r="G295" s="41">
        <f t="shared" si="36"/>
        <v>0.37037037037037035</v>
      </c>
      <c r="H295" s="53">
        <f t="shared" si="37"/>
        <v>0.31746031746031744</v>
      </c>
      <c r="I295" s="42" t="s">
        <v>595</v>
      </c>
      <c r="J295" s="42" t="s">
        <v>595</v>
      </c>
      <c r="K295" s="59" t="s">
        <v>595</v>
      </c>
      <c r="L295" s="62" t="s">
        <v>595</v>
      </c>
      <c r="M295" s="65" t="s">
        <v>595</v>
      </c>
      <c r="N295" s="65" t="s">
        <v>595</v>
      </c>
      <c r="O295" s="65" t="s">
        <v>595</v>
      </c>
      <c r="P295" s="65" t="s">
        <v>595</v>
      </c>
      <c r="Q295" s="65" t="s">
        <v>595</v>
      </c>
      <c r="R295" s="65" t="s">
        <v>595</v>
      </c>
      <c r="S295" s="65" t="s">
        <v>595</v>
      </c>
      <c r="T295" s="36" t="s">
        <v>596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 s="6"/>
    </row>
    <row r="296" spans="1:156" s="1" customFormat="1">
      <c r="A296" s="36">
        <v>306</v>
      </c>
      <c r="B296" s="37" t="s">
        <v>794</v>
      </c>
      <c r="C296" s="38" t="s">
        <v>795</v>
      </c>
      <c r="D296" s="39" t="s">
        <v>338</v>
      </c>
      <c r="E296" s="40" t="s">
        <v>660</v>
      </c>
      <c r="F296" s="56">
        <f>MROUND(IF(TRIM(T296)="ATHE", D296*0.75, IF(TRIM(T296)="Focus Awards", D296*0.6, D296*0.7)) + 1, 10) - 1</f>
        <v>129</v>
      </c>
      <c r="G296" s="41">
        <f t="shared" si="36"/>
        <v>0.37037037037037035</v>
      </c>
      <c r="H296" s="53">
        <f t="shared" si="37"/>
        <v>0.31746031746031744</v>
      </c>
      <c r="I296" s="42" t="s">
        <v>595</v>
      </c>
      <c r="J296" s="42" t="s">
        <v>595</v>
      </c>
      <c r="K296" s="59" t="s">
        <v>595</v>
      </c>
      <c r="L296" s="62" t="s">
        <v>595</v>
      </c>
      <c r="M296" s="65" t="s">
        <v>595</v>
      </c>
      <c r="N296" s="65" t="s">
        <v>595</v>
      </c>
      <c r="O296" s="65" t="s">
        <v>595</v>
      </c>
      <c r="P296" s="65" t="s">
        <v>595</v>
      </c>
      <c r="Q296" s="65" t="s">
        <v>595</v>
      </c>
      <c r="R296" s="65" t="s">
        <v>595</v>
      </c>
      <c r="S296" s="65" t="s">
        <v>595</v>
      </c>
      <c r="T296" s="36" t="s">
        <v>596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 s="6"/>
    </row>
    <row r="297" spans="1:156" s="1" customFormat="1">
      <c r="A297" s="42">
        <v>307</v>
      </c>
      <c r="B297" s="37" t="s">
        <v>796</v>
      </c>
      <c r="C297" s="38" t="s">
        <v>797</v>
      </c>
      <c r="D297" s="39" t="s">
        <v>338</v>
      </c>
      <c r="E297" s="40" t="s">
        <v>660</v>
      </c>
      <c r="F297" s="56">
        <f>MROUND(IF(TRIM(T297)="ATHE", D297*0.75, IF(TRIM(T297)="Focus Awards", D297*0.6, D297*0.7)) + 1, 10) - 1</f>
        <v>129</v>
      </c>
      <c r="G297" s="41">
        <f t="shared" si="36"/>
        <v>0.37037037037037035</v>
      </c>
      <c r="H297" s="53">
        <f t="shared" si="37"/>
        <v>0.31746031746031744</v>
      </c>
      <c r="I297" s="42" t="s">
        <v>595</v>
      </c>
      <c r="J297" s="42" t="s">
        <v>595</v>
      </c>
      <c r="K297" s="59" t="s">
        <v>595</v>
      </c>
      <c r="L297" s="62" t="s">
        <v>595</v>
      </c>
      <c r="M297" s="65" t="s">
        <v>595</v>
      </c>
      <c r="N297" s="65" t="s">
        <v>595</v>
      </c>
      <c r="O297" s="65" t="s">
        <v>595</v>
      </c>
      <c r="P297" s="65" t="s">
        <v>595</v>
      </c>
      <c r="Q297" s="65" t="s">
        <v>595</v>
      </c>
      <c r="R297" s="65" t="s">
        <v>595</v>
      </c>
      <c r="S297" s="65" t="s">
        <v>595</v>
      </c>
      <c r="T297" s="36" t="s">
        <v>596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 s="6"/>
    </row>
    <row r="298" spans="1:156" s="1" customFormat="1" ht="29.45">
      <c r="A298" s="36">
        <v>308</v>
      </c>
      <c r="B298" s="37" t="s">
        <v>798</v>
      </c>
      <c r="C298" s="38" t="s">
        <v>799</v>
      </c>
      <c r="D298" s="39" t="s">
        <v>687</v>
      </c>
      <c r="E298" s="40" t="s">
        <v>800</v>
      </c>
      <c r="F298" s="56">
        <f>MROUND(IF(TRIM(T298)="ATHE", D298*0.75, IF(TRIM(T298)="Focus Awards", D298*0.6, D298*0.7)) + 1, 10) - 1</f>
        <v>129</v>
      </c>
      <c r="G298" s="41">
        <f t="shared" si="36"/>
        <v>0.39106145251396651</v>
      </c>
      <c r="H298" s="53">
        <f t="shared" si="37"/>
        <v>0.27932960893854752</v>
      </c>
      <c r="I298" s="42" t="s">
        <v>595</v>
      </c>
      <c r="J298" s="42" t="s">
        <v>595</v>
      </c>
      <c r="K298" s="59" t="s">
        <v>595</v>
      </c>
      <c r="L298" s="62" t="s">
        <v>595</v>
      </c>
      <c r="M298" s="65" t="s">
        <v>595</v>
      </c>
      <c r="N298" s="65" t="s">
        <v>595</v>
      </c>
      <c r="O298" s="65" t="s">
        <v>595</v>
      </c>
      <c r="P298" s="65" t="s">
        <v>595</v>
      </c>
      <c r="Q298" s="65" t="s">
        <v>595</v>
      </c>
      <c r="R298" s="65" t="s">
        <v>595</v>
      </c>
      <c r="S298" s="65" t="s">
        <v>595</v>
      </c>
      <c r="T298" s="36" t="s">
        <v>596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 s="6"/>
    </row>
    <row r="299" spans="1:156" s="1" customFormat="1">
      <c r="A299" s="42">
        <v>309</v>
      </c>
      <c r="B299" s="37" t="s">
        <v>801</v>
      </c>
      <c r="C299" s="38" t="s">
        <v>802</v>
      </c>
      <c r="D299" s="39" t="s">
        <v>594</v>
      </c>
      <c r="E299" s="40" t="s">
        <v>657</v>
      </c>
      <c r="F299" s="56">
        <f>MROUND(IF(TRIM(T299)="ATHE", D299*0.75, IF(TRIM(T299)="Focus Awards", D299*0.6, D299*0.7)) + 1, 10) - 1</f>
        <v>99</v>
      </c>
      <c r="G299" s="41">
        <f t="shared" si="36"/>
        <v>0.35971223021582732</v>
      </c>
      <c r="H299" s="53">
        <f t="shared" si="37"/>
        <v>0.28776978417266186</v>
      </c>
      <c r="I299" s="42" t="s">
        <v>595</v>
      </c>
      <c r="J299" s="42" t="s">
        <v>595</v>
      </c>
      <c r="K299" s="59" t="s">
        <v>595</v>
      </c>
      <c r="L299" s="62" t="s">
        <v>595</v>
      </c>
      <c r="M299" s="65" t="s">
        <v>595</v>
      </c>
      <c r="N299" s="65" t="s">
        <v>595</v>
      </c>
      <c r="O299" s="65" t="s">
        <v>595</v>
      </c>
      <c r="P299" s="65" t="s">
        <v>595</v>
      </c>
      <c r="Q299" s="65" t="s">
        <v>595</v>
      </c>
      <c r="R299" s="65" t="s">
        <v>595</v>
      </c>
      <c r="S299" s="65" t="s">
        <v>595</v>
      </c>
      <c r="T299" s="36" t="s">
        <v>596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 s="6"/>
    </row>
    <row r="300" spans="1:156" s="1" customFormat="1" ht="29.45">
      <c r="A300" s="36">
        <v>310</v>
      </c>
      <c r="B300" s="37" t="s">
        <v>803</v>
      </c>
      <c r="C300" s="38" t="s">
        <v>804</v>
      </c>
      <c r="D300" s="39" t="s">
        <v>594</v>
      </c>
      <c r="E300" s="40" t="s">
        <v>657</v>
      </c>
      <c r="F300" s="56">
        <f>MROUND(IF(TRIM(T300)="ATHE", D300*0.75, IF(TRIM(T300)="Focus Awards", D300*0.6, D300*0.7)) + 1, 10) - 1</f>
        <v>99</v>
      </c>
      <c r="G300" s="41">
        <f t="shared" si="36"/>
        <v>0.35971223021582732</v>
      </c>
      <c r="H300" s="53">
        <f t="shared" si="37"/>
        <v>0.28776978417266186</v>
      </c>
      <c r="I300" s="42" t="s">
        <v>595</v>
      </c>
      <c r="J300" s="42" t="s">
        <v>595</v>
      </c>
      <c r="K300" s="59" t="s">
        <v>595</v>
      </c>
      <c r="L300" s="62" t="s">
        <v>595</v>
      </c>
      <c r="M300" s="65" t="s">
        <v>595</v>
      </c>
      <c r="N300" s="65" t="s">
        <v>595</v>
      </c>
      <c r="O300" s="65" t="s">
        <v>595</v>
      </c>
      <c r="P300" s="65" t="s">
        <v>595</v>
      </c>
      <c r="Q300" s="65" t="s">
        <v>595</v>
      </c>
      <c r="R300" s="65" t="s">
        <v>595</v>
      </c>
      <c r="S300" s="65" t="s">
        <v>595</v>
      </c>
      <c r="T300" s="36" t="s">
        <v>596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 s="6"/>
    </row>
    <row r="301" spans="1:156" s="1" customFormat="1">
      <c r="A301" s="42">
        <v>311</v>
      </c>
      <c r="B301" s="37" t="s">
        <v>805</v>
      </c>
      <c r="C301" s="38" t="s">
        <v>806</v>
      </c>
      <c r="D301" s="39" t="s">
        <v>338</v>
      </c>
      <c r="E301" s="39" t="s">
        <v>660</v>
      </c>
      <c r="F301" s="56">
        <f>MROUND(IF(TRIM(T301)="ATHE", D301*0.75, IF(TRIM(T301)="Focus Awards", D301*0.6, D301*0.7)) + 1, 10) - 1</f>
        <v>129</v>
      </c>
      <c r="G301" s="41">
        <f t="shared" si="36"/>
        <v>0.37037037037037035</v>
      </c>
      <c r="H301" s="54">
        <f t="shared" si="37"/>
        <v>0.31746031746031744</v>
      </c>
      <c r="I301" s="42" t="s">
        <v>595</v>
      </c>
      <c r="J301" s="42" t="s">
        <v>595</v>
      </c>
      <c r="K301" s="59" t="s">
        <v>595</v>
      </c>
      <c r="L301" s="62" t="s">
        <v>595</v>
      </c>
      <c r="M301" s="65" t="s">
        <v>595</v>
      </c>
      <c r="N301" s="65" t="s">
        <v>595</v>
      </c>
      <c r="O301" s="65" t="s">
        <v>595</v>
      </c>
      <c r="P301" s="65" t="s">
        <v>595</v>
      </c>
      <c r="Q301" s="65" t="s">
        <v>595</v>
      </c>
      <c r="R301" s="65" t="s">
        <v>595</v>
      </c>
      <c r="S301" s="65" t="s">
        <v>595</v>
      </c>
      <c r="T301" s="36" t="s">
        <v>596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 s="6"/>
    </row>
    <row r="302" spans="1:156" s="1" customFormat="1" ht="29.45">
      <c r="A302" s="36">
        <v>312</v>
      </c>
      <c r="B302" s="37" t="s">
        <v>807</v>
      </c>
      <c r="C302" s="38" t="s">
        <v>808</v>
      </c>
      <c r="D302" s="39" t="s">
        <v>338</v>
      </c>
      <c r="E302" s="39" t="s">
        <v>660</v>
      </c>
      <c r="F302" s="56">
        <f>MROUND(IF(TRIM(T302)="ATHE", D302*0.75, IF(TRIM(T302)="Focus Awards", D302*0.6, D302*0.7)) + 1, 10) - 1</f>
        <v>129</v>
      </c>
      <c r="G302" s="41">
        <f t="shared" si="36"/>
        <v>0.37037037037037035</v>
      </c>
      <c r="H302" s="54">
        <f t="shared" si="37"/>
        <v>0.31746031746031744</v>
      </c>
      <c r="I302" s="42" t="s">
        <v>595</v>
      </c>
      <c r="J302" s="42" t="s">
        <v>595</v>
      </c>
      <c r="K302" s="59" t="s">
        <v>595</v>
      </c>
      <c r="L302" s="62" t="s">
        <v>595</v>
      </c>
      <c r="M302" s="65" t="s">
        <v>595</v>
      </c>
      <c r="N302" s="65" t="s">
        <v>595</v>
      </c>
      <c r="O302" s="65" t="s">
        <v>595</v>
      </c>
      <c r="P302" s="65" t="s">
        <v>595</v>
      </c>
      <c r="Q302" s="65" t="s">
        <v>595</v>
      </c>
      <c r="R302" s="65" t="s">
        <v>595</v>
      </c>
      <c r="S302" s="65" t="s">
        <v>595</v>
      </c>
      <c r="T302" s="36" t="s">
        <v>596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 s="6"/>
    </row>
    <row r="303" spans="1:156" s="1" customFormat="1" ht="29.45">
      <c r="A303" s="42">
        <v>313</v>
      </c>
      <c r="B303" s="37" t="s">
        <v>809</v>
      </c>
      <c r="C303" s="38" t="s">
        <v>810</v>
      </c>
      <c r="D303" s="39" t="s">
        <v>338</v>
      </c>
      <c r="E303" s="39" t="s">
        <v>660</v>
      </c>
      <c r="F303" s="56">
        <f>MROUND(IF(TRIM(T303)="ATHE", D303*0.75, IF(TRIM(T303)="Focus Awards", D303*0.6, D303*0.7)) + 1, 10) - 1</f>
        <v>129</v>
      </c>
      <c r="G303" s="41">
        <f t="shared" si="36"/>
        <v>0.37037037037037035</v>
      </c>
      <c r="H303" s="54">
        <f t="shared" si="37"/>
        <v>0.31746031746031744</v>
      </c>
      <c r="I303" s="42" t="s">
        <v>595</v>
      </c>
      <c r="J303" s="42" t="s">
        <v>595</v>
      </c>
      <c r="K303" s="59" t="s">
        <v>595</v>
      </c>
      <c r="L303" s="62" t="s">
        <v>595</v>
      </c>
      <c r="M303" s="65" t="s">
        <v>595</v>
      </c>
      <c r="N303" s="65" t="s">
        <v>595</v>
      </c>
      <c r="O303" s="65" t="s">
        <v>595</v>
      </c>
      <c r="P303" s="65" t="s">
        <v>595</v>
      </c>
      <c r="Q303" s="65" t="s">
        <v>595</v>
      </c>
      <c r="R303" s="65" t="s">
        <v>595</v>
      </c>
      <c r="S303" s="65" t="s">
        <v>595</v>
      </c>
      <c r="T303" s="36" t="s">
        <v>596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 s="6"/>
    </row>
    <row r="304" spans="1:156" s="1" customFormat="1">
      <c r="A304" s="36">
        <v>314</v>
      </c>
      <c r="B304" s="37" t="s">
        <v>811</v>
      </c>
      <c r="C304" s="38" t="s">
        <v>812</v>
      </c>
      <c r="D304" s="39" t="s">
        <v>338</v>
      </c>
      <c r="E304" s="39" t="s">
        <v>660</v>
      </c>
      <c r="F304" s="56">
        <f>MROUND(IF(TRIM(T304)="ATHE", D304*0.75, IF(TRIM(T304)="Focus Awards", D304*0.6, D304*0.7)) + 1, 10) - 1</f>
        <v>129</v>
      </c>
      <c r="G304" s="41">
        <f t="shared" si="36"/>
        <v>0.37037037037037035</v>
      </c>
      <c r="H304" s="54">
        <f t="shared" si="37"/>
        <v>0.31746031746031744</v>
      </c>
      <c r="I304" s="42" t="s">
        <v>595</v>
      </c>
      <c r="J304" s="42" t="s">
        <v>595</v>
      </c>
      <c r="K304" s="59" t="s">
        <v>595</v>
      </c>
      <c r="L304" s="62" t="s">
        <v>595</v>
      </c>
      <c r="M304" s="65" t="s">
        <v>595</v>
      </c>
      <c r="N304" s="65" t="s">
        <v>595</v>
      </c>
      <c r="O304" s="65" t="s">
        <v>595</v>
      </c>
      <c r="P304" s="65" t="s">
        <v>595</v>
      </c>
      <c r="Q304" s="65" t="s">
        <v>595</v>
      </c>
      <c r="R304" s="65" t="s">
        <v>595</v>
      </c>
      <c r="S304" s="65" t="s">
        <v>595</v>
      </c>
      <c r="T304" s="36" t="s">
        <v>596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 s="6"/>
    </row>
    <row r="305" spans="1:156" customFormat="1" ht="29.45">
      <c r="A305" s="42">
        <v>315</v>
      </c>
      <c r="B305" s="37" t="s">
        <v>813</v>
      </c>
      <c r="C305" s="38" t="s">
        <v>814</v>
      </c>
      <c r="D305" s="39" t="s">
        <v>338</v>
      </c>
      <c r="E305" s="39" t="s">
        <v>660</v>
      </c>
      <c r="F305" s="56">
        <f>MROUND(IF(TRIM(T305)="ATHE", D305*0.75, IF(TRIM(T305)="Focus Awards", D305*0.6, D305*0.7)) + 1, 10) - 1</f>
        <v>129</v>
      </c>
      <c r="G305" s="41">
        <f t="shared" si="36"/>
        <v>0.37037037037037035</v>
      </c>
      <c r="H305" s="54">
        <f t="shared" si="37"/>
        <v>0.31746031746031744</v>
      </c>
      <c r="I305" s="42" t="s">
        <v>595</v>
      </c>
      <c r="J305" s="42" t="s">
        <v>595</v>
      </c>
      <c r="K305" s="59" t="s">
        <v>595</v>
      </c>
      <c r="L305" s="62" t="s">
        <v>595</v>
      </c>
      <c r="M305" s="65" t="s">
        <v>595</v>
      </c>
      <c r="N305" s="65" t="s">
        <v>595</v>
      </c>
      <c r="O305" s="65" t="s">
        <v>595</v>
      </c>
      <c r="P305" s="65" t="s">
        <v>595</v>
      </c>
      <c r="Q305" s="65" t="s">
        <v>595</v>
      </c>
      <c r="R305" s="65" t="s">
        <v>595</v>
      </c>
      <c r="S305" s="65" t="s">
        <v>595</v>
      </c>
      <c r="T305" s="36" t="s">
        <v>596</v>
      </c>
      <c r="EZ305" s="6"/>
    </row>
    <row r="306" spans="1:156" customFormat="1" ht="29.45">
      <c r="A306" s="36">
        <v>316</v>
      </c>
      <c r="B306" s="37" t="s">
        <v>815</v>
      </c>
      <c r="C306" s="38" t="s">
        <v>816</v>
      </c>
      <c r="D306" s="39" t="s">
        <v>338</v>
      </c>
      <c r="E306" s="39" t="s">
        <v>660</v>
      </c>
      <c r="F306" s="56">
        <f>MROUND(IF(TRIM(T306)="ATHE", D306*0.75, IF(TRIM(T306)="Focus Awards", D306*0.6, D306*0.7)) + 1, 10) - 1</f>
        <v>129</v>
      </c>
      <c r="G306" s="41">
        <f t="shared" si="36"/>
        <v>0.37037037037037035</v>
      </c>
      <c r="H306" s="54">
        <f t="shared" si="37"/>
        <v>0.31746031746031744</v>
      </c>
      <c r="I306" s="42" t="s">
        <v>595</v>
      </c>
      <c r="J306" s="42" t="s">
        <v>595</v>
      </c>
      <c r="K306" s="59" t="s">
        <v>595</v>
      </c>
      <c r="L306" s="62" t="s">
        <v>595</v>
      </c>
      <c r="M306" s="65" t="s">
        <v>595</v>
      </c>
      <c r="N306" s="65" t="s">
        <v>595</v>
      </c>
      <c r="O306" s="65" t="s">
        <v>595</v>
      </c>
      <c r="P306" s="65" t="s">
        <v>595</v>
      </c>
      <c r="Q306" s="65" t="s">
        <v>595</v>
      </c>
      <c r="R306" s="65" t="s">
        <v>595</v>
      </c>
      <c r="S306" s="65" t="s">
        <v>595</v>
      </c>
      <c r="T306" s="36" t="s">
        <v>596</v>
      </c>
      <c r="EZ306" s="6"/>
    </row>
    <row r="307" spans="1:156" customFormat="1" ht="29.45">
      <c r="A307" s="42">
        <v>317</v>
      </c>
      <c r="B307" s="37" t="s">
        <v>817</v>
      </c>
      <c r="C307" s="38" t="s">
        <v>818</v>
      </c>
      <c r="D307" s="39" t="s">
        <v>594</v>
      </c>
      <c r="E307" s="39" t="s">
        <v>657</v>
      </c>
      <c r="F307" s="56">
        <f>MROUND(IF(TRIM(T307)="ATHE", D307*0.75, IF(TRIM(T307)="Focus Awards", D307*0.6, D307*0.7)) + 1, 10) - 1</f>
        <v>99</v>
      </c>
      <c r="G307" s="41">
        <f t="shared" si="36"/>
        <v>0.35971223021582732</v>
      </c>
      <c r="H307" s="54">
        <f t="shared" si="37"/>
        <v>0.28776978417266186</v>
      </c>
      <c r="I307" s="42" t="s">
        <v>595</v>
      </c>
      <c r="J307" s="42" t="s">
        <v>595</v>
      </c>
      <c r="K307" s="59" t="s">
        <v>595</v>
      </c>
      <c r="L307" s="62" t="s">
        <v>595</v>
      </c>
      <c r="M307" s="65" t="s">
        <v>595</v>
      </c>
      <c r="N307" s="65" t="s">
        <v>595</v>
      </c>
      <c r="O307" s="65" t="s">
        <v>595</v>
      </c>
      <c r="P307" s="65" t="s">
        <v>595</v>
      </c>
      <c r="Q307" s="65" t="s">
        <v>595</v>
      </c>
      <c r="R307" s="65" t="s">
        <v>595</v>
      </c>
      <c r="S307" s="65" t="s">
        <v>595</v>
      </c>
      <c r="T307" s="36" t="s">
        <v>596</v>
      </c>
      <c r="EZ307" s="6"/>
    </row>
    <row r="308" spans="1:156" customFormat="1" ht="29.45">
      <c r="A308" s="36">
        <v>318</v>
      </c>
      <c r="B308" s="37" t="s">
        <v>819</v>
      </c>
      <c r="C308" s="38" t="s">
        <v>820</v>
      </c>
      <c r="D308" s="39" t="s">
        <v>338</v>
      </c>
      <c r="E308" s="39" t="s">
        <v>660</v>
      </c>
      <c r="F308" s="56">
        <f>MROUND(IF(TRIM(T308)="ATHE", D308*0.75, IF(TRIM(T308)="Focus Awards", D308*0.6, D308*0.7)) + 1, 10) - 1</f>
        <v>129</v>
      </c>
      <c r="G308" s="41">
        <f t="shared" si="36"/>
        <v>0.37037037037037035</v>
      </c>
      <c r="H308" s="54">
        <f t="shared" si="37"/>
        <v>0.31746031746031744</v>
      </c>
      <c r="I308" s="42" t="s">
        <v>595</v>
      </c>
      <c r="J308" s="42" t="s">
        <v>595</v>
      </c>
      <c r="K308" s="59" t="s">
        <v>595</v>
      </c>
      <c r="L308" s="62" t="s">
        <v>595</v>
      </c>
      <c r="M308" s="65" t="s">
        <v>595</v>
      </c>
      <c r="N308" s="65" t="s">
        <v>595</v>
      </c>
      <c r="O308" s="65" t="s">
        <v>595</v>
      </c>
      <c r="P308" s="65" t="s">
        <v>595</v>
      </c>
      <c r="Q308" s="65" t="s">
        <v>595</v>
      </c>
      <c r="R308" s="65" t="s">
        <v>595</v>
      </c>
      <c r="S308" s="65" t="s">
        <v>595</v>
      </c>
      <c r="T308" s="36" t="s">
        <v>596</v>
      </c>
      <c r="EZ308" s="6"/>
    </row>
    <row r="309" spans="1:156" customFormat="1">
      <c r="A309" s="42">
        <v>319</v>
      </c>
      <c r="B309" s="37" t="s">
        <v>821</v>
      </c>
      <c r="C309" s="38" t="s">
        <v>822</v>
      </c>
      <c r="D309" s="39" t="s">
        <v>594</v>
      </c>
      <c r="E309" s="39" t="s">
        <v>657</v>
      </c>
      <c r="F309" s="56">
        <f>MROUND(IF(TRIM(T309)="ATHE", D309*0.75, IF(TRIM(T309)="Focus Awards", D309*0.6, D309*0.7)) + 1, 10) - 1</f>
        <v>99</v>
      </c>
      <c r="G309" s="41">
        <f t="shared" si="36"/>
        <v>0.35971223021582732</v>
      </c>
      <c r="H309" s="54">
        <f t="shared" si="37"/>
        <v>0.28776978417266186</v>
      </c>
      <c r="I309" s="42" t="s">
        <v>595</v>
      </c>
      <c r="J309" s="42" t="s">
        <v>595</v>
      </c>
      <c r="K309" s="59" t="s">
        <v>595</v>
      </c>
      <c r="L309" s="62" t="s">
        <v>595</v>
      </c>
      <c r="M309" s="65" t="s">
        <v>595</v>
      </c>
      <c r="N309" s="65" t="s">
        <v>595</v>
      </c>
      <c r="O309" s="65" t="s">
        <v>595</v>
      </c>
      <c r="P309" s="65" t="s">
        <v>595</v>
      </c>
      <c r="Q309" s="65" t="s">
        <v>595</v>
      </c>
      <c r="R309" s="65" t="s">
        <v>595</v>
      </c>
      <c r="S309" s="65" t="s">
        <v>595</v>
      </c>
      <c r="T309" s="36" t="s">
        <v>596</v>
      </c>
      <c r="EZ309" s="8"/>
    </row>
    <row r="310" spans="1:156">
      <c r="D310" s="68"/>
      <c r="E310" s="68"/>
      <c r="H310" s="73"/>
      <c r="I310" s="68"/>
      <c r="J310" s="68"/>
      <c r="K310" s="74"/>
      <c r="L310" s="75"/>
      <c r="M310" s="76"/>
      <c r="N310" s="77"/>
      <c r="O310" s="76"/>
      <c r="P310" s="74"/>
      <c r="Q310" s="77"/>
      <c r="R310" s="74"/>
      <c r="S310" s="77"/>
    </row>
    <row r="311" spans="1:156">
      <c r="D311" s="68"/>
      <c r="E311" s="68"/>
      <c r="H311" s="73"/>
      <c r="I311" s="68"/>
      <c r="J311" s="68"/>
      <c r="K311" s="74"/>
      <c r="L311" s="75"/>
      <c r="M311" s="76"/>
      <c r="N311" s="77"/>
      <c r="O311" s="76"/>
      <c r="P311" s="74"/>
      <c r="Q311" s="77"/>
      <c r="R311" s="74"/>
      <c r="S311" s="77"/>
    </row>
    <row r="312" spans="1:156">
      <c r="D312" s="68"/>
      <c r="E312" s="68"/>
      <c r="H312" s="73"/>
      <c r="I312" s="68"/>
      <c r="J312" s="68"/>
      <c r="K312" s="74"/>
      <c r="L312" s="75"/>
      <c r="M312" s="76"/>
      <c r="N312" s="77"/>
      <c r="O312" s="76"/>
      <c r="P312" s="74"/>
      <c r="Q312" s="77"/>
      <c r="R312" s="74"/>
      <c r="S312" s="77"/>
    </row>
    <row r="313" spans="1:156">
      <c r="D313" s="68"/>
      <c r="E313" s="68"/>
      <c r="H313" s="73"/>
      <c r="I313" s="68"/>
      <c r="J313" s="68"/>
      <c r="K313" s="74"/>
      <c r="L313" s="75"/>
      <c r="M313" s="76"/>
      <c r="N313" s="77"/>
      <c r="O313" s="76"/>
      <c r="P313" s="74"/>
      <c r="Q313" s="77"/>
      <c r="R313" s="74"/>
      <c r="S313" s="77"/>
    </row>
    <row r="314" spans="1:156">
      <c r="D314" s="68"/>
      <c r="E314" s="68"/>
      <c r="H314" s="73"/>
      <c r="I314" s="68"/>
      <c r="J314" s="68"/>
      <c r="K314" s="74"/>
      <c r="L314" s="75"/>
      <c r="M314" s="76"/>
      <c r="N314" s="77"/>
      <c r="O314" s="76"/>
      <c r="P314" s="74"/>
      <c r="Q314" s="77"/>
      <c r="R314" s="74"/>
      <c r="S314" s="77"/>
    </row>
    <row r="315" spans="1:156">
      <c r="D315" s="68"/>
      <c r="E315" s="68"/>
      <c r="H315" s="73"/>
      <c r="I315" s="68"/>
      <c r="J315" s="68"/>
      <c r="K315" s="74"/>
      <c r="L315" s="75"/>
      <c r="M315" s="76"/>
      <c r="N315" s="77"/>
      <c r="O315" s="76"/>
      <c r="P315" s="74"/>
      <c r="Q315" s="77"/>
      <c r="R315" s="74"/>
      <c r="S315" s="77"/>
    </row>
    <row r="316" spans="1:156">
      <c r="D316" s="68"/>
      <c r="E316" s="68"/>
      <c r="H316" s="73"/>
      <c r="I316" s="68"/>
      <c r="J316" s="68"/>
      <c r="K316" s="74"/>
      <c r="L316" s="75"/>
      <c r="M316" s="76"/>
      <c r="N316" s="77"/>
      <c r="O316" s="76"/>
      <c r="P316" s="74"/>
      <c r="Q316" s="77"/>
      <c r="R316" s="74"/>
      <c r="S316" s="77"/>
    </row>
    <row r="317" spans="1:156">
      <c r="I317" s="68"/>
      <c r="J317" s="68"/>
      <c r="K317" s="74"/>
      <c r="L317" s="75"/>
      <c r="M317" s="76"/>
      <c r="N317" s="77"/>
      <c r="O317" s="76"/>
      <c r="P317" s="74"/>
      <c r="Q317" s="77"/>
      <c r="R317" s="74"/>
      <c r="S317" s="77"/>
    </row>
    <row r="318" spans="1:156">
      <c r="I318" s="68"/>
      <c r="J318" s="68"/>
      <c r="K318" s="74"/>
      <c r="L318" s="75"/>
      <c r="M318" s="76"/>
      <c r="N318" s="77"/>
      <c r="O318" s="76"/>
      <c r="P318" s="74"/>
      <c r="Q318" s="77"/>
      <c r="R318" s="74"/>
      <c r="S318" s="77"/>
    </row>
    <row r="319" spans="1:156">
      <c r="I319" s="68"/>
      <c r="J319" s="68"/>
      <c r="K319" s="74"/>
      <c r="L319" s="75"/>
      <c r="M319" s="76"/>
      <c r="N319" s="77"/>
      <c r="O319" s="76"/>
      <c r="P319" s="74"/>
      <c r="Q319" s="77"/>
      <c r="R319" s="74"/>
      <c r="S319" s="77"/>
    </row>
    <row r="320" spans="1:156">
      <c r="I320" s="68"/>
      <c r="J320" s="68"/>
      <c r="K320" s="74"/>
      <c r="L320" s="75"/>
      <c r="M320" s="76"/>
      <c r="N320" s="77"/>
      <c r="O320" s="76"/>
      <c r="P320" s="74"/>
      <c r="Q320" s="77"/>
      <c r="R320" s="74"/>
      <c r="S320" s="77"/>
    </row>
    <row r="321" spans="9:19">
      <c r="I321" s="68"/>
      <c r="J321" s="68"/>
      <c r="K321" s="74"/>
      <c r="L321" s="75"/>
      <c r="M321" s="76"/>
      <c r="N321" s="77"/>
      <c r="O321" s="76"/>
      <c r="P321" s="74"/>
      <c r="Q321" s="77"/>
      <c r="R321" s="74"/>
      <c r="S321" s="77"/>
    </row>
    <row r="322" spans="9:19">
      <c r="I322" s="68"/>
      <c r="J322" s="68"/>
      <c r="K322" s="74"/>
      <c r="L322" s="75"/>
      <c r="M322" s="76"/>
      <c r="N322" s="77"/>
      <c r="O322" s="76"/>
      <c r="P322" s="74"/>
      <c r="Q322" s="77"/>
      <c r="R322" s="74"/>
      <c r="S322" s="77"/>
    </row>
    <row r="323" spans="9:19">
      <c r="I323" s="68"/>
      <c r="J323" s="68"/>
      <c r="K323" s="74"/>
      <c r="L323" s="75"/>
      <c r="M323" s="76"/>
      <c r="N323" s="77"/>
      <c r="O323" s="76"/>
      <c r="P323" s="74"/>
      <c r="Q323" s="77"/>
      <c r="R323" s="74"/>
      <c r="S323" s="77"/>
    </row>
    <row r="324" spans="9:19">
      <c r="I324" s="68"/>
      <c r="J324" s="68"/>
      <c r="K324" s="74"/>
      <c r="L324" s="75"/>
      <c r="M324" s="76"/>
      <c r="N324" s="77"/>
      <c r="O324" s="76"/>
      <c r="P324" s="74"/>
      <c r="Q324" s="77"/>
      <c r="R324" s="74"/>
      <c r="S324" s="77"/>
    </row>
    <row r="325" spans="9:19">
      <c r="I325" s="68"/>
      <c r="J325" s="68"/>
      <c r="K325" s="74"/>
      <c r="L325" s="75"/>
      <c r="M325" s="76"/>
      <c r="N325" s="77"/>
      <c r="O325" s="76"/>
      <c r="P325" s="74"/>
      <c r="Q325" s="77"/>
      <c r="R325" s="74"/>
      <c r="S325" s="77"/>
    </row>
    <row r="1048542" spans="4:4">
      <c r="D1048542" s="68"/>
    </row>
  </sheetData>
  <sortState xmlns:xlrd2="http://schemas.microsoft.com/office/spreadsheetml/2017/richdata2" ref="B2:T1048542">
    <sortCondition ref="T1:T1048542"/>
  </sortState>
  <hyperlinks>
    <hyperlink ref="C201" r:id="rId1" xr:uid="{6579E867-6836-449E-8827-517380B0C692}"/>
    <hyperlink ref="C202" r:id="rId2" xr:uid="{FC73D771-AAB0-4939-8FDB-96D46F8DA6EF}"/>
    <hyperlink ref="C203" r:id="rId3" xr:uid="{12A6903D-6992-46CA-B220-F3DBC760E523}"/>
    <hyperlink ref="C204" r:id="rId4" xr:uid="{3E1F07E2-A336-44E4-887A-423ACD30CE55}"/>
    <hyperlink ref="C205" r:id="rId5" xr:uid="{0D5A215C-7277-41FC-84B9-420962F692BA}"/>
    <hyperlink ref="C206" r:id="rId6" xr:uid="{DF6A00BD-2737-4692-89E9-FC3333B37B87}"/>
    <hyperlink ref="C207" r:id="rId7" xr:uid="{9FAFB411-1B99-4AAF-AD2F-3DEE57FF9474}"/>
    <hyperlink ref="C208" r:id="rId8" xr:uid="{79764D63-255F-49DE-892D-67A55499BEB2}"/>
    <hyperlink ref="C209" r:id="rId9" xr:uid="{B1697A40-D233-4BE2-B3B8-F3074A0B36B5}"/>
    <hyperlink ref="C210" r:id="rId10" xr:uid="{827D5273-7C5E-4A8A-8D75-1FF30D964AE2}"/>
    <hyperlink ref="C211" r:id="rId11" xr:uid="{65BB0994-D461-4777-A12D-D79A96E9216B}"/>
    <hyperlink ref="C212" r:id="rId12" xr:uid="{66BD3E81-68DF-434E-A444-DBAC87E820EE}"/>
    <hyperlink ref="C213" r:id="rId13" xr:uid="{9DF5F46C-320C-480D-8D30-72FD011788E1}"/>
    <hyperlink ref="C214" r:id="rId14" xr:uid="{3FAD721E-FCCC-4609-A036-C19689D1F3F9}"/>
    <hyperlink ref="C215" r:id="rId15" xr:uid="{CB599AC1-C3D1-46EE-B439-818AAC5484D5}"/>
    <hyperlink ref="C216" r:id="rId16" xr:uid="{037FB835-73F6-40DE-8B65-025363BA16DD}"/>
    <hyperlink ref="C217" r:id="rId17" xr:uid="{F0520965-9006-41D1-93A8-6BC24492C4FE}"/>
    <hyperlink ref="C218" r:id="rId18" xr:uid="{BCC6F2ED-C6EA-4B70-A915-AC77C20E57E9}"/>
    <hyperlink ref="C219" r:id="rId19" xr:uid="{9CA53BE5-A5A1-4948-9F7A-B99061995D36}"/>
    <hyperlink ref="C220" r:id="rId20" xr:uid="{C01C0439-2738-4202-A575-A50547E3B12D}"/>
    <hyperlink ref="C221" r:id="rId21" xr:uid="{A641A4C8-F9DC-4B61-8A27-801D3BFA2397}"/>
    <hyperlink ref="C222" r:id="rId22" xr:uid="{30748B77-0F7D-4A1C-92AF-A6851AAFBDD6}"/>
    <hyperlink ref="C223" r:id="rId23" xr:uid="{722B379E-AC18-43CE-A619-A92A08D412B8}"/>
    <hyperlink ref="C224" r:id="rId24" xr:uid="{0C383C4D-2C0E-423E-BAEF-E4E405B0984F}"/>
    <hyperlink ref="C225" r:id="rId25" xr:uid="{94B2BCE4-73C0-4D65-96A7-93092563A3D9}"/>
    <hyperlink ref="C226" r:id="rId26" xr:uid="{2FC379E5-DF14-4FFC-841A-8890A0F84F84}"/>
    <hyperlink ref="C227" r:id="rId27" xr:uid="{5AEE7728-2632-4DE5-8A0C-715492C0501D}"/>
    <hyperlink ref="C228" r:id="rId28" xr:uid="{6360FF1A-4B10-41ED-9713-909910F4613B}"/>
    <hyperlink ref="C229" r:id="rId29" xr:uid="{5981634F-8BD4-4272-BFC4-2265BA078FF2}"/>
    <hyperlink ref="C230" r:id="rId30" xr:uid="{A16CA129-C7AC-4521-8EC4-48F8F76B8628}"/>
    <hyperlink ref="C231" r:id="rId31" xr:uid="{E2A6C5EC-364C-4838-9515-25211848B7C1}"/>
    <hyperlink ref="C232" r:id="rId32" xr:uid="{C44D3344-099C-455F-BCB9-B71BFF98A535}"/>
    <hyperlink ref="C233" r:id="rId33" xr:uid="{ADAC2129-F1E5-4006-AFC8-A3A79ABEF022}"/>
    <hyperlink ref="C234" r:id="rId34" xr:uid="{136C3846-6CD2-4083-93AA-70223ED573A5}"/>
    <hyperlink ref="C235" r:id="rId35" xr:uid="{F44F57D1-02B6-45E2-B019-F74F978347A9}"/>
    <hyperlink ref="C236" r:id="rId36" xr:uid="{987128D8-F8FA-4008-A43D-7C8A24F4147D}"/>
    <hyperlink ref="C237" r:id="rId37" xr:uid="{BF5FB455-5D44-415D-B95C-93FD5C41E4AE}"/>
    <hyperlink ref="C238" r:id="rId38" xr:uid="{A6542A20-43D1-41AE-AD4D-357B363E750A}"/>
    <hyperlink ref="C239" r:id="rId39" xr:uid="{0F001D70-425A-4B27-8DA3-A96E58CB4441}"/>
    <hyperlink ref="C240" r:id="rId40" xr:uid="{3CEC8F43-610C-4E2A-BF83-D52771AF0CBD}"/>
    <hyperlink ref="C241" r:id="rId41" xr:uid="{1DDBAA5C-17C4-47F4-99CA-8F95B947BE0C}"/>
    <hyperlink ref="C242" r:id="rId42" xr:uid="{448D89AE-4636-446F-8E26-D344D100FB9C}"/>
    <hyperlink ref="C243" r:id="rId43" xr:uid="{431CDA24-6348-43F3-8932-AE55D31591B0}"/>
    <hyperlink ref="C244" r:id="rId44" xr:uid="{2D160036-FA73-4A99-8A0E-AA71AF2C7E51}"/>
    <hyperlink ref="C245" r:id="rId45" xr:uid="{5EC27AB9-8B16-4436-9FA3-5C99413A182B}"/>
    <hyperlink ref="C246" r:id="rId46" xr:uid="{95705A86-A971-4A91-8597-B8FCA3A79098}"/>
    <hyperlink ref="C247" r:id="rId47" xr:uid="{C28F1D44-4908-4C4B-95BF-9CEE4A24B9AC}"/>
    <hyperlink ref="C248" r:id="rId48" xr:uid="{5253B04E-699D-4428-937F-2D05C4B29EFD}"/>
    <hyperlink ref="C249" r:id="rId49" xr:uid="{1AE4C4FB-1E78-48E2-9217-E80002B3361F}"/>
    <hyperlink ref="C250" r:id="rId50" xr:uid="{3CD2E52E-85FC-4B9D-903F-63DC56F7D174}"/>
    <hyperlink ref="C251" r:id="rId51" xr:uid="{C0DA859E-0826-4955-BDF1-158285CCC333}"/>
    <hyperlink ref="C252" r:id="rId52" xr:uid="{0B7CABF0-780B-4F96-AA79-214E3ACFC96F}"/>
    <hyperlink ref="C253" r:id="rId53" xr:uid="{A6DA9460-E845-4EEC-905B-4C7524BA7C0B}"/>
    <hyperlink ref="C254" r:id="rId54" xr:uid="{2A175913-3DD3-40B1-991D-3F1E037DCB4E}"/>
    <hyperlink ref="C255" r:id="rId55" xr:uid="{678565C6-36FB-419D-9591-62E32438E828}"/>
    <hyperlink ref="C257" r:id="rId56" xr:uid="{1AFCA1D0-165C-497C-A27D-D6EE4DAD5084}"/>
    <hyperlink ref="C256" r:id="rId57" xr:uid="{C6890E64-3BA7-4674-B339-F3979583A714}"/>
    <hyperlink ref="C258" r:id="rId58" xr:uid="{E4DF48C5-1488-4662-A994-72250AE06898}"/>
    <hyperlink ref="C259" r:id="rId59" xr:uid="{9263A01F-7B36-4677-902F-6D1D0B1A652A}"/>
    <hyperlink ref="C260" r:id="rId60" xr:uid="{270787F0-EBBD-495D-B931-5A0DF6870BEF}"/>
    <hyperlink ref="C261" r:id="rId61" xr:uid="{C593A5D1-A63C-47B5-B16E-37F57D6E789A}"/>
    <hyperlink ref="C262" r:id="rId62" xr:uid="{079C518E-1F84-4FF3-849F-21ACF8AEBC3D}"/>
    <hyperlink ref="C263" r:id="rId63" xr:uid="{BA78D979-38DF-4A57-B8EF-219EA17AE769}"/>
    <hyperlink ref="C264" r:id="rId64" xr:uid="{E0414A3C-5232-4D82-A8B8-9965E17513B7}"/>
    <hyperlink ref="C265" r:id="rId65" xr:uid="{F326E418-5446-4C6F-8AAB-675AC7A8CDAC}"/>
    <hyperlink ref="C266" r:id="rId66" xr:uid="{B49D4099-B931-4CAE-A3CB-DDDFB22BBC04}"/>
    <hyperlink ref="C267" r:id="rId67" xr:uid="{0101B435-13CD-48D9-8300-FF84FEA43D23}"/>
    <hyperlink ref="C268" r:id="rId68" xr:uid="{7ABEB06E-775B-4D81-AD1A-AA8B65319252}"/>
    <hyperlink ref="C269" r:id="rId69" xr:uid="{002FB1D3-F0B5-4BBB-9765-9F79EFEDBCB1}"/>
    <hyperlink ref="C270" r:id="rId70" xr:uid="{4818B767-27A0-414D-B79E-3E177DC3FCE3}"/>
    <hyperlink ref="C271" r:id="rId71" xr:uid="{F6A6E860-0797-482E-9235-9608FCB676E7}"/>
    <hyperlink ref="C272" r:id="rId72" xr:uid="{F63AEF59-CB12-4502-80CA-2B4BF6A09B37}"/>
    <hyperlink ref="C273" r:id="rId73" xr:uid="{E2ADC32C-A0AD-4300-B5C5-8B399967288E}"/>
    <hyperlink ref="C275" r:id="rId74" xr:uid="{E724355C-C90A-404E-BB45-A280E021CB70}"/>
    <hyperlink ref="C274" r:id="rId75" xr:uid="{06AFA374-7160-44EC-B74D-1FBD6E1AA245}"/>
    <hyperlink ref="C276" r:id="rId76" xr:uid="{A51CF324-19C0-486B-A82D-0C29822F61E9}"/>
    <hyperlink ref="C277" r:id="rId77" xr:uid="{CA053014-0782-4669-8327-4D1845DEB609}"/>
    <hyperlink ref="C278" r:id="rId78" xr:uid="{8BFA5A14-9394-4B6B-9CA0-E710B4400A3B}"/>
    <hyperlink ref="C279" r:id="rId79" xr:uid="{83136168-9E13-4F32-A037-A50FDFC6972F}"/>
    <hyperlink ref="C280" r:id="rId80" xr:uid="{F83A9709-D4EB-45E4-8028-E52D5EE685AF}"/>
    <hyperlink ref="C281" r:id="rId81" xr:uid="{31E76196-CF86-415B-A8E9-9C5474ABF3F9}"/>
    <hyperlink ref="C282" r:id="rId82" xr:uid="{E3B29920-385D-4FD1-AF29-62CA949B3AFD}"/>
    <hyperlink ref="C283" r:id="rId83" xr:uid="{4472C0C2-C967-48D6-9089-147A35420EFF}"/>
    <hyperlink ref="C284" r:id="rId84" xr:uid="{61896F0A-097C-4678-9354-3D5B6A04D98C}"/>
    <hyperlink ref="C285" r:id="rId85" xr:uid="{0DA24141-62AD-4E62-B50D-D287B90EA1D7}"/>
    <hyperlink ref="C286" r:id="rId86" xr:uid="{F7727058-917E-499C-85A8-8A435831C625}"/>
    <hyperlink ref="C287" r:id="rId87" xr:uid="{617C7267-A593-47BB-AA81-440B296EBBE6}"/>
    <hyperlink ref="C288" r:id="rId88" xr:uid="{897EE3B3-CBA7-4812-974A-1D993D46F688}"/>
    <hyperlink ref="C289" r:id="rId89" xr:uid="{6A7B0362-BF0B-4377-916E-407CDC1697A0}"/>
    <hyperlink ref="C290" r:id="rId90" xr:uid="{0CFBCF99-B5DE-4619-AA3D-08FA964DC4B2}"/>
    <hyperlink ref="C291" r:id="rId91" xr:uid="{C3E79487-A243-4E2F-BBF7-5B875976E918}"/>
    <hyperlink ref="C292" r:id="rId92" xr:uid="{73B5CAE3-86FA-42BC-8EA1-3404C9D0DDC9}"/>
    <hyperlink ref="C293" r:id="rId93" xr:uid="{B61EEF80-44BE-40AC-BC9D-83F6243E094B}"/>
    <hyperlink ref="C294" r:id="rId94" xr:uid="{3C569F71-333C-4578-BDE3-BA10B5F58FE9}"/>
    <hyperlink ref="C295" r:id="rId95" xr:uid="{CA7201C2-F4AB-48FD-8E8D-8C032793FFB2}"/>
    <hyperlink ref="C296" r:id="rId96" xr:uid="{8677D6AC-3F40-4EE9-B95F-66587357FDC7}"/>
    <hyperlink ref="C297" r:id="rId97" xr:uid="{4A12F2E6-A6EA-48AC-963D-682C2018EB62}"/>
    <hyperlink ref="C298" r:id="rId98" xr:uid="{E829DD15-7209-4170-8179-1CF5BE8FDD64}"/>
    <hyperlink ref="C299" r:id="rId99" xr:uid="{4BD9E390-4FA7-43A7-A602-A585BF016787}"/>
    <hyperlink ref="C300" r:id="rId100" xr:uid="{FB4AE5CC-8FC4-4515-B458-5FA02664C44E}"/>
    <hyperlink ref="C301" r:id="rId101" xr:uid="{6203FC6A-7EA3-4A27-A4D2-A04A2B1CD607}"/>
    <hyperlink ref="C302" r:id="rId102" xr:uid="{2815F0D9-B876-4D55-9BB9-9D4DD9F5B25F}"/>
    <hyperlink ref="C303" r:id="rId103" xr:uid="{3BFACB18-B211-48A7-8B91-F9DC618D12ED}"/>
    <hyperlink ref="C304" r:id="rId104" xr:uid="{D31BEA30-03FB-45F9-A126-97A46615E161}"/>
    <hyperlink ref="C305" r:id="rId105" xr:uid="{9A616CF2-6E39-44B6-9B77-F9862B76DAD8}"/>
    <hyperlink ref="C309" r:id="rId106" xr:uid="{FF91BF40-FC43-4B7C-81C8-8932E58008FC}"/>
    <hyperlink ref="C308" r:id="rId107" xr:uid="{66E6C76A-1329-49B8-B532-DBCDDC73DF4B}"/>
    <hyperlink ref="C307" r:id="rId108" xr:uid="{1A36AF7A-B04C-47AD-9B69-F120F0C9E355}"/>
    <hyperlink ref="C306" r:id="rId109" xr:uid="{21CDF061-6C6E-4772-82A9-EEE4FF52B644}"/>
    <hyperlink ref="C145" r:id="rId110" xr:uid="{EAD90254-EAFD-4E8E-BC6E-C85760CD679A}"/>
    <hyperlink ref="C144" r:id="rId111" xr:uid="{BE2BCDDF-D72C-4E28-A569-0B2F7B9C3A31}"/>
    <hyperlink ref="C149" r:id="rId112" xr:uid="{0B6396E5-DD2D-43B7-B2AC-06E25962E379}"/>
    <hyperlink ref="C150" r:id="rId113" xr:uid="{C2114960-BF91-4EAD-BFC8-1D2F3C89D815}"/>
    <hyperlink ref="C155" r:id="rId114" xr:uid="{5BD69908-8ABC-4A78-A182-5ECB9654CA1C}"/>
    <hyperlink ref="C154" r:id="rId115" xr:uid="{CE6AE411-FCF3-47BD-93A2-A94C7E26F329}"/>
    <hyperlink ref="C153" r:id="rId116" xr:uid="{0A68AD69-CDDC-4E76-BE74-FFE8BC8FD46F}"/>
    <hyperlink ref="C152" r:id="rId117" xr:uid="{269189E5-029D-4BC8-9A8C-1A6C48A03BBB}"/>
    <hyperlink ref="C151" r:id="rId118" xr:uid="{7271C52E-68F3-42C2-89CC-6EFC9A66B43E}"/>
    <hyperlink ref="C156" r:id="rId119" xr:uid="{DCD5A911-AAEC-4274-8F97-E7CAD0E479F1}"/>
    <hyperlink ref="C157" r:id="rId120" xr:uid="{0DE46672-74C9-4F2B-847B-0D370E9E7D74}"/>
    <hyperlink ref="C158" r:id="rId121" xr:uid="{E6E3DF97-3C02-4701-B08C-C6BA7755CDCE}"/>
    <hyperlink ref="C159" r:id="rId122" xr:uid="{1ED19734-F342-4297-90B5-8CF7D7ABECE6}"/>
    <hyperlink ref="C160" r:id="rId123" xr:uid="{C43D1049-3D63-4153-BB7B-40690BA59404}"/>
    <hyperlink ref="C161" r:id="rId124" xr:uid="{02A4DA76-C883-47B4-AC1D-82E4DF4E23B1}"/>
    <hyperlink ref="C162" r:id="rId125" xr:uid="{27656D44-FD62-4F9C-9386-78D2935267A6}"/>
    <hyperlink ref="C146" r:id="rId126" xr:uid="{F1F7258A-6A92-4BE9-A90A-53BDCD780550}"/>
    <hyperlink ref="C163" r:id="rId127" xr:uid="{988B5733-A448-4725-BD35-D0028A80EEAD}"/>
    <hyperlink ref="C164" r:id="rId128" xr:uid="{25A5D106-3489-4F8E-9392-1A80BC5A2490}"/>
    <hyperlink ref="C93" r:id="rId129" xr:uid="{69A72F82-8611-46E5-AE31-65557EF2E68C}"/>
    <hyperlink ref="C94" r:id="rId130" xr:uid="{A584D58A-914E-4629-8C31-C3B732A84848}"/>
    <hyperlink ref="C95" r:id="rId131" xr:uid="{2A690B47-3FD8-4102-A70E-04601D573A09}"/>
    <hyperlink ref="C165" r:id="rId132" xr:uid="{F52AB281-4FB4-41B7-BFF8-415D5B60AAF3}"/>
    <hyperlink ref="C166" r:id="rId133" xr:uid="{D0DCA100-38BD-4D4F-8E67-7B48BAA99F63}"/>
    <hyperlink ref="C167" r:id="rId134" xr:uid="{AE34BB30-DBB3-42B5-A5C0-4DBC7ADD4E20}"/>
    <hyperlink ref="C168" r:id="rId135" xr:uid="{C8743DA8-B898-4BF6-B03B-F1B2C89412E7}"/>
    <hyperlink ref="C2" r:id="rId136" xr:uid="{774FFC67-0CEE-40AB-8257-E347687593CB}"/>
    <hyperlink ref="C3" r:id="rId137" xr:uid="{3179A384-7F07-4319-A8F9-8513792C6FEB}"/>
    <hyperlink ref="C4" r:id="rId138" xr:uid="{E8D74CA4-72DD-4AEC-8329-F33C1A96EFD5}"/>
    <hyperlink ref="C5" r:id="rId139" xr:uid="{B278CDCD-2E47-47E7-AB32-89E864B92576}"/>
    <hyperlink ref="C6" r:id="rId140" xr:uid="{CA4177D1-B32A-4086-A378-91271DE65748}"/>
    <hyperlink ref="C7" r:id="rId141" xr:uid="{3D29DD27-179D-42DD-A469-12FA93B29DE9}"/>
    <hyperlink ref="C8" r:id="rId142" xr:uid="{337CE533-7F95-438B-80D5-D0B840F00437}"/>
    <hyperlink ref="C96" r:id="rId143" xr:uid="{C315EE78-7AD3-48D7-A5CC-3BD20D4C6FB7}"/>
    <hyperlink ref="C169" r:id="rId144" xr:uid="{1F9F9EA1-D36A-47AB-98F9-BDCF043544E8}"/>
    <hyperlink ref="C170" r:id="rId145" xr:uid="{F5C00F9D-8D38-46E2-825B-7EAD0BD9EF9F}"/>
    <hyperlink ref="C171" r:id="rId146" xr:uid="{B77E0479-3C7E-4535-A99F-4F1BB72F3E34}"/>
    <hyperlink ref="C97" r:id="rId147" xr:uid="{39B83152-CC91-4A6C-A54C-B6E83D4C46BE}"/>
    <hyperlink ref="C9" r:id="rId148" xr:uid="{F79CB635-A685-45EC-9492-6FD9A7661758}"/>
    <hyperlink ref="C98" r:id="rId149" xr:uid="{B2E7BB3D-0E36-4956-B01E-580ABEBF8207}"/>
    <hyperlink ref="C99" r:id="rId150" xr:uid="{ED63607D-42C9-4B7C-B650-837D5575B4AD}"/>
    <hyperlink ref="C100" r:id="rId151" xr:uid="{76629BCE-278B-42DE-999C-7E79AD4FE3E7}"/>
    <hyperlink ref="C172" r:id="rId152" xr:uid="{2C969B9C-E6B0-4D6A-A677-26F9B0C0BD8F}"/>
    <hyperlink ref="C10" r:id="rId153" xr:uid="{23DF66A6-8B06-4D40-83C8-16C88D9B46C2}"/>
    <hyperlink ref="C101" r:id="rId154" xr:uid="{9C932086-47F8-4E0B-97B5-7F752E706012}"/>
    <hyperlink ref="C102" r:id="rId155" xr:uid="{7640A20A-AE8B-45E7-8716-0431F09D6B2E}"/>
    <hyperlink ref="C173" r:id="rId156" xr:uid="{45D15650-E213-405E-A3A8-BB0A3B5B1AF1}"/>
    <hyperlink ref="C103" r:id="rId157" xr:uid="{E3DF7A0F-31E0-4140-A1B7-9E49E35A978C}"/>
    <hyperlink ref="C104" r:id="rId158" xr:uid="{5884C960-7875-4F3A-8E15-F2E47970AC87}"/>
    <hyperlink ref="C105" r:id="rId159" xr:uid="{40F92E69-C34A-4782-B33E-7DE3B6B4FCD5}"/>
    <hyperlink ref="C106" r:id="rId160" xr:uid="{BFB9609D-579C-48B8-9023-90F6A0ED0B85}"/>
    <hyperlink ref="C11" r:id="rId161" xr:uid="{4785065D-E9DB-4F58-A6A9-CFF6B8BAAB7A}"/>
    <hyperlink ref="C107" r:id="rId162" xr:uid="{5E220CE6-B81C-4793-BAB2-AD32851FF8F8}"/>
    <hyperlink ref="C174" r:id="rId163" xr:uid="{118B0110-0388-46AB-B2BE-5E1DA6DDDDE7}"/>
    <hyperlink ref="C175" r:id="rId164" xr:uid="{93D76D88-D585-44AF-826E-991366257987}"/>
    <hyperlink ref="C176" r:id="rId165" xr:uid="{92E57E1E-2ADC-4F66-B591-DFC37B506361}"/>
    <hyperlink ref="C177" r:id="rId166" xr:uid="{7C3DFD2A-77CB-46AC-86DD-C32B220187E5}"/>
    <hyperlink ref="C178" r:id="rId167" xr:uid="{FE806DD7-8BCA-4585-B337-3B74D13995B1}"/>
    <hyperlink ref="C179" r:id="rId168" xr:uid="{8F661CCA-2922-4264-B69C-0E7E60F1BAE8}"/>
    <hyperlink ref="C180" r:id="rId169" xr:uid="{51D38902-1C42-4FC1-8786-A67B60AA08D0}"/>
    <hyperlink ref="C181" r:id="rId170" xr:uid="{4A4C4790-7AF9-4357-8716-749B1FA887EF}"/>
    <hyperlink ref="C182" r:id="rId171" xr:uid="{CD37A603-8FAE-4415-9F08-A229304C2EF7}"/>
    <hyperlink ref="C108" r:id="rId172" xr:uid="{B212618A-A0E3-470F-8A1D-B7A96EEDE5EA}"/>
    <hyperlink ref="C109" r:id="rId173" xr:uid="{633CCDC2-4326-4FD2-AAF9-3D0B68B435E2}"/>
    <hyperlink ref="C183" r:id="rId174" xr:uid="{7BB23577-229D-474B-94A0-0CCFBF416BD3}"/>
    <hyperlink ref="C12" r:id="rId175" xr:uid="{93ABBFDB-C5C9-4EEA-A614-6D285D1C4CF6}"/>
    <hyperlink ref="C184" r:id="rId176" xr:uid="{544A6C47-349B-429F-84A6-333ABCBEF6DF}"/>
    <hyperlink ref="C110" r:id="rId177" xr:uid="{FEF48B39-BFD1-48B0-9D63-EC95A15B86B6}"/>
    <hyperlink ref="C13" r:id="rId178" xr:uid="{BE48EF6D-9EAB-4083-BFD8-372F16337903}"/>
    <hyperlink ref="C14" r:id="rId179" xr:uid="{E81F65F7-E994-469D-B085-1BA9B01537C8}"/>
    <hyperlink ref="C15" r:id="rId180" xr:uid="{9390AF06-0FBA-4C3F-AEFE-BA40D2F5C4A8}"/>
    <hyperlink ref="C111" r:id="rId181" xr:uid="{83EE3C92-2D59-4F5F-9156-3C30D112FAF1}"/>
    <hyperlink ref="C112" r:id="rId182" xr:uid="{D259DCC5-0DD2-4424-9B2A-A41ED9910292}"/>
    <hyperlink ref="C185" r:id="rId183" xr:uid="{EF0B526E-EE84-4ECF-91C1-FB0FB735C194}"/>
    <hyperlink ref="C113" r:id="rId184" xr:uid="{D26E76AA-8AAC-4401-8A8C-29E8DB349AD9}"/>
    <hyperlink ref="C16" r:id="rId185" xr:uid="{99E0B014-8D35-4E8B-A7AD-1ED97375CDB5}"/>
    <hyperlink ref="C186" r:id="rId186" xr:uid="{A4D2D9D4-395F-474D-8747-139710B86753}"/>
    <hyperlink ref="C17" r:id="rId187" xr:uid="{616997B7-DAFB-472A-A945-637F0B30EBC8}"/>
    <hyperlink ref="C18" r:id="rId188" xr:uid="{6F5C18CE-1132-434C-841C-C9F91401C080}"/>
    <hyperlink ref="C114" r:id="rId189" xr:uid="{82B855AC-A361-4CE6-A9A2-0E5449EDD126}"/>
    <hyperlink ref="C187" r:id="rId190" xr:uid="{F83160B8-58A1-424F-A25E-9CA20D419082}"/>
    <hyperlink ref="C115" r:id="rId191" xr:uid="{1D3F9FB3-971F-4930-865C-2E14434A6736}"/>
    <hyperlink ref="C116" r:id="rId192" xr:uid="{8CFD136C-C91E-4CD2-958A-6DE04FD76A08}"/>
    <hyperlink ref="C147" r:id="rId193" xr:uid="{7A6964D2-7532-4344-BB5C-2471E6D34508}"/>
    <hyperlink ref="C19" r:id="rId194" xr:uid="{230E0121-735E-4F32-A822-0686A7BA67E2}"/>
    <hyperlink ref="C117" r:id="rId195" xr:uid="{A58AA5C2-21CA-4D52-8405-4EA22CEF1106}"/>
    <hyperlink ref="C118" r:id="rId196" xr:uid="{DA34936F-436B-41EB-BEEC-3122BA223800}"/>
    <hyperlink ref="C119" r:id="rId197" xr:uid="{DBB3AF41-6062-4876-9A61-FE90A2A743AA}"/>
    <hyperlink ref="C120" r:id="rId198" xr:uid="{F5103736-B3E6-48BF-A882-75FC7C92A03E}"/>
    <hyperlink ref="C121" r:id="rId199" xr:uid="{E71D6E0F-6068-4FCD-A47F-253154024986}"/>
    <hyperlink ref="C122" r:id="rId200" xr:uid="{53BAAFE2-67E6-4D32-AB26-476CEF3CC35F}"/>
    <hyperlink ref="C123" r:id="rId201" xr:uid="{EC7B490B-1D2D-4557-AF06-266B28E79B13}"/>
    <hyperlink ref="C124" r:id="rId202" xr:uid="{42D3BDE8-A348-4E34-9772-99303AEF0E06}"/>
    <hyperlink ref="C20" r:id="rId203" xr:uid="{D2932761-F5E0-4B98-ADCF-E73663856BF8}"/>
    <hyperlink ref="C188" r:id="rId204" xr:uid="{1C9BBC86-3696-4213-BC43-240B43475DAF}"/>
    <hyperlink ref="C125" r:id="rId205" xr:uid="{194E483B-375B-4746-9CB5-AE539354969A}"/>
    <hyperlink ref="C126" r:id="rId206" xr:uid="{9E4AC6A0-5BE2-4DAB-A420-7AC12CCFDE2E}"/>
    <hyperlink ref="C127" r:id="rId207" xr:uid="{80AD016A-4969-4E94-98EB-B432D5D0E3F4}"/>
    <hyperlink ref="C128" r:id="rId208" xr:uid="{43BAE4A3-754A-4EEA-975C-048FACCDCB26}"/>
    <hyperlink ref="C129" r:id="rId209" xr:uid="{71B00E90-5D7C-4349-889E-2A0C8D6A5647}"/>
    <hyperlink ref="C130" r:id="rId210" xr:uid="{76829D4D-60B3-4A4A-91FE-6BFFB9D38115}"/>
    <hyperlink ref="C131" r:id="rId211" xr:uid="{2EDBF2D1-2956-4B17-A155-7E1069AF5F8E}"/>
    <hyperlink ref="C21" r:id="rId212" xr:uid="{5D08328D-AC16-40E4-9CD8-F1728E0D30D6}"/>
    <hyperlink ref="C189" r:id="rId213" xr:uid="{24D06662-A95D-4FFC-BFD3-20F61E25168C}"/>
    <hyperlink ref="C132" r:id="rId214" xr:uid="{097E48F9-08B6-459A-A899-ACA34CB5CDA2}"/>
    <hyperlink ref="C133" r:id="rId215" xr:uid="{08046AD4-2162-44B7-A019-9C050F71292D}"/>
    <hyperlink ref="C22" r:id="rId216" xr:uid="{DC662CE7-6EE5-462A-B91D-9C58D7E2F5C1}"/>
    <hyperlink ref="C23" r:id="rId217" xr:uid="{CCE36AC5-3809-4345-8AF0-CB0D1BA29199}"/>
    <hyperlink ref="C24" r:id="rId218" xr:uid="{1AC5A4F7-AA5D-41B3-AB95-CB6A971D4C2F}"/>
    <hyperlink ref="C134" r:id="rId219" xr:uid="{4CAAA6C1-94C0-456A-B110-BB19FA8C7138}"/>
    <hyperlink ref="C135" r:id="rId220" xr:uid="{6C0574FA-0D65-439E-BA87-DDF92F6C3BF4}"/>
    <hyperlink ref="C25" r:id="rId221" xr:uid="{9A4AB86C-7614-4C8E-91B5-B05F9B10447B}"/>
    <hyperlink ref="C26" r:id="rId222" xr:uid="{E4BFCD55-73FF-4446-99EF-017C02597C00}"/>
    <hyperlink ref="C27" r:id="rId223" xr:uid="{7F5BFF68-8880-484D-951D-B6D05FF188C0}"/>
    <hyperlink ref="C28" r:id="rId224" xr:uid="{1FDF3A56-7EEA-46EB-8DA2-A4DBC0652459}"/>
    <hyperlink ref="C29" r:id="rId225" xr:uid="{10AC9A4D-32AC-4CC6-BAD6-F0BE1E986A06}"/>
    <hyperlink ref="C30" r:id="rId226" xr:uid="{1DD2A28F-122C-4F20-B388-0F42B63D1287}"/>
    <hyperlink ref="C31" r:id="rId227" xr:uid="{9904DD27-6C72-474B-92D1-A6A480619118}"/>
    <hyperlink ref="C32" r:id="rId228" xr:uid="{A3DCC1CA-BB45-4978-9919-C9E5185B6133}"/>
    <hyperlink ref="C33" r:id="rId229" xr:uid="{EC592778-1AB0-4F59-B6C4-9E65F4B5EACC}"/>
    <hyperlink ref="C34" r:id="rId230" xr:uid="{FCCCF6FE-84F3-4A96-B7CF-DD11519DE9AB}"/>
    <hyperlink ref="C136" r:id="rId231" xr:uid="{FF6879CB-6602-42BC-8632-6D2ED78EC580}"/>
    <hyperlink ref="C137" r:id="rId232" xr:uid="{EB7CBCB7-D938-41C4-BC49-C732B75769FB}"/>
    <hyperlink ref="C138" r:id="rId233" xr:uid="{4A9048E1-2D09-45CB-92B6-09392B9E8A9A}"/>
    <hyperlink ref="C35" r:id="rId234" xr:uid="{783E7D69-BD30-4E5F-87EA-B6ED6A32B36B}"/>
    <hyperlink ref="C36" r:id="rId235" xr:uid="{855E497A-9CC0-412C-AEA9-6C7046BBC16C}"/>
    <hyperlink ref="C37" r:id="rId236" xr:uid="{C4E33262-1EF1-4958-9408-7485B1FB4377}"/>
    <hyperlink ref="C38" r:id="rId237" xr:uid="{1E836EEC-F65D-4C3C-B62E-0DA44B09C682}"/>
    <hyperlink ref="C39" r:id="rId238" xr:uid="{9BB83CC0-0261-4C3B-AF00-252D09DE6D73}"/>
    <hyperlink ref="C139" r:id="rId239" xr:uid="{B69443A1-3AD8-4F13-8B3C-FD4FC57E152B}"/>
    <hyperlink ref="C190" r:id="rId240" xr:uid="{A1FF17C1-5133-477B-B81E-E1C1B889E6AA}"/>
    <hyperlink ref="C191" r:id="rId241" xr:uid="{6FA873D7-C4C3-4930-86D3-B96451656C7E}"/>
    <hyperlink ref="C192" r:id="rId242" xr:uid="{3DD035FC-A2D4-48D2-A12D-CE74B8E85967}"/>
    <hyperlink ref="C140" r:id="rId243" xr:uid="{7BF00AAE-FC25-4382-900B-CFAB80F748DF}"/>
    <hyperlink ref="C141" r:id="rId244" xr:uid="{5463CF6C-B94B-4495-9EBB-43BFD34766B5}"/>
    <hyperlink ref="C142" r:id="rId245" xr:uid="{1D291BA7-765B-4E94-B233-9740BC6CF227}"/>
    <hyperlink ref="C40" r:id="rId246" xr:uid="{BBA56CE8-FD42-4E15-88FC-C723C3671AC4}"/>
    <hyperlink ref="C143" r:id="rId247" xr:uid="{A7D29EFC-7D9E-4C8B-B255-26395970110C}"/>
    <hyperlink ref="C148" r:id="rId248" xr:uid="{8832371F-B2B8-4779-942B-8C9A5F4BEAE9}"/>
    <hyperlink ref="C41" r:id="rId249" xr:uid="{C5F43FD6-EBA1-419D-B42B-5D26F30F3374}"/>
    <hyperlink ref="C42" r:id="rId250" xr:uid="{97592DE6-9EC8-4B59-AC8F-3C212646AB59}"/>
    <hyperlink ref="C43" r:id="rId251" xr:uid="{765F54EB-1589-4DC3-8E38-67419C42A4A6}"/>
    <hyperlink ref="C44" r:id="rId252" xr:uid="{95CEF175-8916-45ED-9073-E08920426AB9}"/>
    <hyperlink ref="C45" r:id="rId253" xr:uid="{B7A6F354-3D45-42F4-808A-6849A00B8BA5}"/>
    <hyperlink ref="C46" r:id="rId254" xr:uid="{019D84E0-DBBE-4187-A8A3-87E16DB409F9}"/>
    <hyperlink ref="C47" r:id="rId255" xr:uid="{4C7C62A8-CCCF-4800-AD59-0C6AC053370B}"/>
    <hyperlink ref="C48" r:id="rId256" xr:uid="{CF68B7AF-8985-4134-BAC0-BD7C69FCF512}"/>
    <hyperlink ref="C49" r:id="rId257" xr:uid="{B3C0EB8F-72E0-4A22-A755-877A7DFF0803}"/>
    <hyperlink ref="C50" r:id="rId258" xr:uid="{DE52F0E7-A4D0-4BCA-BB91-E4A04D6FD7AF}"/>
    <hyperlink ref="C51" r:id="rId259" xr:uid="{DFA9F55B-CEC1-4A5F-BC45-EFD2E84F40BF}"/>
    <hyperlink ref="C52" r:id="rId260" xr:uid="{5837A387-77DF-45C7-9FD7-844DAD3C6974}"/>
    <hyperlink ref="C53" r:id="rId261" xr:uid="{D970E9A2-201E-4F5C-B99B-7E55B9F95B2E}"/>
    <hyperlink ref="C54" r:id="rId262" xr:uid="{F427F5D2-C022-4AEF-83AB-0EA5932EFE2D}"/>
    <hyperlink ref="C55" r:id="rId263" xr:uid="{F24E2744-5768-4ECB-90CA-5616737B32DA}"/>
    <hyperlink ref="C56" r:id="rId264" xr:uid="{C038D2AF-5212-4E6B-B1B2-E3F782801BA6}"/>
    <hyperlink ref="C57" r:id="rId265" xr:uid="{E105ACAD-1507-4C2C-A292-6500F1537949}"/>
    <hyperlink ref="C58" r:id="rId266" xr:uid="{8352C38A-463D-44FC-B5DF-3B1636FA108F}"/>
    <hyperlink ref="C59" r:id="rId267" xr:uid="{FD7BAD5A-58E2-4BC9-97C8-6B10CC9310EE}"/>
    <hyperlink ref="C60" r:id="rId268" xr:uid="{C2B55A76-3A3B-4CC6-A6FF-653762273E8B}"/>
    <hyperlink ref="C61" r:id="rId269" xr:uid="{6D7D350E-AF4E-41B3-BD79-E5381E5D3C3B}"/>
    <hyperlink ref="C62" r:id="rId270" xr:uid="{5C639027-C9B3-4241-A194-F36C74CD6801}"/>
    <hyperlink ref="C63" r:id="rId271" xr:uid="{BE72351A-465E-42F1-804E-E96839698D5F}"/>
    <hyperlink ref="C64" r:id="rId272" xr:uid="{F3042381-60D6-40FF-A99B-D48359314891}"/>
    <hyperlink ref="C65" r:id="rId273" xr:uid="{D09247DD-2127-421F-BE76-07CF2CC0E733}"/>
    <hyperlink ref="C66" r:id="rId274" xr:uid="{A0A334CD-4A59-4B31-91BD-ADBB3865B7EC}"/>
    <hyperlink ref="C67" r:id="rId275" xr:uid="{CA4AACF9-8747-4C0B-98DF-A1AF962B2853}"/>
    <hyperlink ref="C68" r:id="rId276" xr:uid="{E406CA37-3AD2-4455-81E0-44C111470ACB}"/>
    <hyperlink ref="C70" r:id="rId277" xr:uid="{025C1226-B7CE-4528-9D37-2741A443BE53}"/>
    <hyperlink ref="C71" r:id="rId278" xr:uid="{99AB3339-39CE-476F-9160-D5EAE61EE5DE}"/>
    <hyperlink ref="C72" r:id="rId279" xr:uid="{A2542DE0-6830-4181-9DB0-AFF8201FB0F0}"/>
    <hyperlink ref="C73" r:id="rId280" xr:uid="{6A5B8B26-FA16-40F2-AFB4-42EDD37A9000}"/>
    <hyperlink ref="C74" r:id="rId281" xr:uid="{A530BFF5-05BA-4427-A439-53AD1BECA1DD}"/>
    <hyperlink ref="C75" r:id="rId282" xr:uid="{7229883D-D087-458D-88A7-EDCA35869E30}"/>
    <hyperlink ref="C76" r:id="rId283" xr:uid="{115D48CC-842B-414E-80ED-644F4BAAE629}"/>
    <hyperlink ref="C77" r:id="rId284" xr:uid="{E5436188-ACF3-40D3-B751-D06A0736A464}"/>
    <hyperlink ref="C78" r:id="rId285" xr:uid="{D92C602A-7EBD-4887-9BFD-2E71D1B79D05}"/>
    <hyperlink ref="C79" r:id="rId286" xr:uid="{AF08C9A5-4098-429D-A610-D68DE2A5B07D}"/>
    <hyperlink ref="C80" r:id="rId287" xr:uid="{79AE8C24-F60A-4A59-A9F7-6C25286284E4}"/>
    <hyperlink ref="C81" r:id="rId288" xr:uid="{127551B3-C67C-42CB-BCC1-8C27ED355087}"/>
    <hyperlink ref="C82" r:id="rId289" xr:uid="{493E852E-38C3-421B-8420-3D9719E8F57D}"/>
    <hyperlink ref="C83" r:id="rId290" xr:uid="{2011423F-3075-456D-AF37-55CD63F7E1B8}"/>
    <hyperlink ref="C84" r:id="rId291" xr:uid="{A8D93925-7F3A-4019-BED9-EBB85FCAE9B6}"/>
    <hyperlink ref="C85" r:id="rId292" xr:uid="{47BBCD7A-29D4-4990-8B7F-03D7F76945E2}"/>
    <hyperlink ref="C86" r:id="rId293" xr:uid="{0DEA1587-CD4E-4B76-A3B8-E4F9813250FC}"/>
    <hyperlink ref="C87" r:id="rId294" xr:uid="{117CFF54-A6A1-495B-9B1B-1B53057BBF9D}"/>
    <hyperlink ref="C88" r:id="rId295" xr:uid="{9F3635AF-56E5-4DEE-BB1D-CCE22BE91D5A}"/>
    <hyperlink ref="C89" r:id="rId296" xr:uid="{801364A2-CE85-4505-90F4-863DE13B7927}"/>
    <hyperlink ref="C90" r:id="rId297" xr:uid="{30D85A09-E70E-489B-A224-D72F815EA2B0}"/>
    <hyperlink ref="C91" r:id="rId298" xr:uid="{08335CA2-ED37-4D3D-95B5-EBD75831B972}"/>
    <hyperlink ref="C92" r:id="rId299" xr:uid="{CD480D48-E2FD-4C67-8B4F-76D098067AE7}"/>
    <hyperlink ref="C193" r:id="rId300" xr:uid="{0D447300-621E-4896-9BD6-6B9050C46DA3}"/>
    <hyperlink ref="C194" r:id="rId301" xr:uid="{6C7FFFE4-AB5D-4031-A165-1579B07F6EC3}"/>
    <hyperlink ref="C195" r:id="rId302" xr:uid="{8E725D5D-5B9F-460D-865C-0C54B352B32A}"/>
    <hyperlink ref="C196" r:id="rId303" xr:uid="{21561FB2-0A16-498E-A3DF-73FE491EE0DC}"/>
    <hyperlink ref="C197" r:id="rId304" xr:uid="{83A485AE-0EF4-4E19-82FF-C38C806A82A7}"/>
    <hyperlink ref="C198" r:id="rId305" xr:uid="{B713FA46-6794-4B82-AF4A-3BEAEFCE870E}"/>
    <hyperlink ref="C199" r:id="rId306" xr:uid="{572DD036-3F42-4386-B27A-80D2DDF6ACAA}"/>
    <hyperlink ref="C200" r:id="rId307" xr:uid="{328553D5-018F-4098-9F15-6CA3C7DC4E34}"/>
    <hyperlink ref="C69" r:id="rId308" xr:uid="{0F5E55F7-CFD4-4A6B-86C9-CF78F7B93AAC}"/>
  </hyperlinks>
  <pageMargins left="0.7" right="0.7" top="0.75" bottom="0.75" header="0.3" footer="0.3"/>
  <pageSetup orientation="portrait" r:id="rId3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Sadeev Silva</dc:creator>
  <cp:keywords/>
  <dc:description/>
  <cp:lastModifiedBy>Yohan Madusanka</cp:lastModifiedBy>
  <cp:revision/>
  <dcterms:created xsi:type="dcterms:W3CDTF">2025-11-12T10:49:17Z</dcterms:created>
  <dcterms:modified xsi:type="dcterms:W3CDTF">2026-01-22T15:41:16Z</dcterms:modified>
  <cp:category/>
  <cp:contentStatus/>
</cp:coreProperties>
</file>